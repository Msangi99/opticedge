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Ticket Escalated</t>
      </text>
    </comment>
    <comment authorId="0" ref="B19">
      <text>
        <t xml:space="preserve">Ticket Escalated</t>
      </text>
    </comment>
    <comment authorId="0" ref="B35">
      <text>
        <t xml:space="preserve">Ticket Escalated</t>
      </text>
    </comment>
    <comment authorId="0" ref="B51">
      <text>
        <t xml:space="preserve">Ticket Escalated</t>
      </text>
    </comment>
    <comment authorId="0" ref="B67">
      <text>
        <t xml:space="preserve">Ticket Escalated</t>
      </text>
    </comment>
    <comment authorId="0" ref="B84">
      <text>
        <t xml:space="preserve">Ticket Escalated</t>
      </text>
    </comment>
    <comment authorId="0" ref="B101">
      <text>
        <t xml:space="preserve">Ticket Escalated</t>
      </text>
    </comment>
    <comment authorId="0" ref="B117">
      <text>
        <t xml:space="preserve">Ticket Escalated</t>
      </text>
    </comment>
    <comment authorId="0" ref="B132">
      <text>
        <t xml:space="preserve">Ticket Escalated</t>
      </text>
    </comment>
    <comment authorId="0" ref="B150">
      <text>
        <t xml:space="preserve">Ticket Escalated</t>
      </text>
    </comment>
    <comment authorId="0" ref="B166">
      <text>
        <t xml:space="preserve">Ticket Escalated</t>
      </text>
    </comment>
    <comment authorId="0" ref="B182">
      <text>
        <t xml:space="preserve">Ticket Escalated</t>
      </text>
    </comment>
    <comment authorId="0" ref="B198">
      <text>
        <t xml:space="preserve">Ticket Escalated</t>
      </text>
    </comment>
    <comment authorId="0" ref="B214">
      <text>
        <t xml:space="preserve">Ticket Escalated</t>
      </text>
    </comment>
    <comment authorId="0" ref="B230">
      <text>
        <t xml:space="preserve">Ticket Escalated</t>
      </text>
    </comment>
    <comment authorId="0" ref="B246">
      <text>
        <t xml:space="preserve">Ticket Escalated</t>
      </text>
    </comment>
    <comment authorId="0" ref="B262">
      <text>
        <t xml:space="preserve">Ticket Escalated</t>
      </text>
    </comment>
    <comment authorId="0" ref="B278">
      <text>
        <t xml:space="preserve">Ticket Escalated</t>
      </text>
    </comment>
    <comment authorId="0" ref="B294">
      <text>
        <t xml:space="preserve">Ticket Escalated</t>
      </text>
    </comment>
    <comment authorId="0" ref="B310">
      <text>
        <t xml:space="preserve">Ticket Escalated</t>
      </text>
    </comment>
    <comment authorId="0" ref="B326">
      <text>
        <t xml:space="preserve">Ticket Escalated</t>
      </text>
    </comment>
    <comment authorId="0" ref="B342">
      <text>
        <t xml:space="preserve">Ticket Escalated</t>
      </text>
    </comment>
    <comment authorId="0" ref="B358">
      <text>
        <t xml:space="preserve">Ticket Escalated</t>
      </text>
    </comment>
    <comment authorId="0" ref="B374">
      <text>
        <t xml:space="preserve">Ticket Escalated</t>
      </text>
    </comment>
    <comment authorId="0" ref="B390">
      <text>
        <t xml:space="preserve">Ticket Escalated</t>
      </text>
    </comment>
    <comment authorId="0" ref="B406">
      <text>
        <t xml:space="preserve">Ticket Escalated</t>
      </text>
    </comment>
    <comment authorId="0" ref="B422">
      <text>
        <t xml:space="preserve">Ticket Escalated</t>
      </text>
    </comment>
    <comment authorId="0" ref="B438">
      <text>
        <t xml:space="preserve">Ticket Escalated</t>
      </text>
    </comment>
    <comment authorId="0" ref="B454">
      <text>
        <t xml:space="preserve">Ticket Escalated</t>
      </text>
    </comment>
    <comment authorId="0" ref="B470">
      <text>
        <t xml:space="preserve">Ticket Escalated</t>
      </text>
    </comment>
  </commentList>
</comments>
</file>

<file path=xl/sharedStrings.xml><?xml version="1.0" encoding="utf-8"?>
<sst xmlns="http://schemas.openxmlformats.org/spreadsheetml/2006/main" count="1468" uniqueCount="92">
  <si>
    <t xml:space="preserve">   </t>
  </si>
  <si>
    <t>PURCHASES</t>
  </si>
  <si>
    <t>Summary</t>
  </si>
  <si>
    <t>SHOP Balance</t>
  </si>
  <si>
    <t>Item</t>
  </si>
  <si>
    <t>Amount</t>
  </si>
  <si>
    <t>Date</t>
  </si>
  <si>
    <t>Shop</t>
  </si>
  <si>
    <t>Zenon</t>
  </si>
  <si>
    <t>Ezekiel</t>
  </si>
  <si>
    <t>Masua</t>
  </si>
  <si>
    <t>Peter</t>
  </si>
  <si>
    <t>Nehemia</t>
  </si>
  <si>
    <t>Tony</t>
  </si>
  <si>
    <t>Dickson Noni</t>
  </si>
  <si>
    <t>Dealer</t>
  </si>
  <si>
    <t>Balance</t>
  </si>
  <si>
    <t>Zenon Balance</t>
  </si>
  <si>
    <t>Date of purchase</t>
  </si>
  <si>
    <t>Disty name</t>
  </si>
  <si>
    <t>Model.</t>
  </si>
  <si>
    <t>Qnty</t>
  </si>
  <si>
    <t>Purchase price</t>
  </si>
  <si>
    <t>Total purchase value</t>
  </si>
  <si>
    <t>Paid Date</t>
  </si>
  <si>
    <t>Paid amount</t>
  </si>
  <si>
    <t>Pending</t>
  </si>
  <si>
    <t>Paybles</t>
  </si>
  <si>
    <t>Price</t>
  </si>
  <si>
    <t>Purchased stocks</t>
  </si>
  <si>
    <t>Opening Stock</t>
  </si>
  <si>
    <t>Sales</t>
  </si>
  <si>
    <t xml:space="preserve">Transfer </t>
  </si>
  <si>
    <t>Stock</t>
  </si>
  <si>
    <t>Sell thru</t>
  </si>
  <si>
    <t>Team leaders</t>
  </si>
  <si>
    <t>Total Qty</t>
  </si>
  <si>
    <t>Stock value</t>
  </si>
  <si>
    <t>Ezekiel Balance</t>
  </si>
  <si>
    <t>Mitsumi</t>
  </si>
  <si>
    <t>A06 64GB</t>
  </si>
  <si>
    <t>Receivables</t>
  </si>
  <si>
    <t>A05 64GB/4GB</t>
  </si>
  <si>
    <t>Masua Balance</t>
  </si>
  <si>
    <t>Stock inhand value</t>
  </si>
  <si>
    <t>A06 64GB/4GB</t>
  </si>
  <si>
    <t>Peter Balance</t>
  </si>
  <si>
    <t>Cash inhand</t>
  </si>
  <si>
    <t>A06 128GB/4GB</t>
  </si>
  <si>
    <t>Total value</t>
  </si>
  <si>
    <t xml:space="preserve">A16 128/4GB </t>
  </si>
  <si>
    <t>Tony Balance</t>
  </si>
  <si>
    <t>Gross profit</t>
  </si>
  <si>
    <t>HOT 60i 128GB</t>
  </si>
  <si>
    <t>Total expenses</t>
  </si>
  <si>
    <t>POP 10 64GB</t>
  </si>
  <si>
    <t>Net profit</t>
  </si>
  <si>
    <t>SPARK 40 128GB</t>
  </si>
  <si>
    <t>TOTAL BALANCE</t>
  </si>
  <si>
    <t>30% share</t>
  </si>
  <si>
    <t>SMART 10 64GB</t>
  </si>
  <si>
    <t>SMART 10 HD 64GB</t>
  </si>
  <si>
    <t>SMART 10 PLUS 128 GB</t>
  </si>
  <si>
    <t>Total</t>
  </si>
  <si>
    <t>Balances</t>
  </si>
  <si>
    <t xml:space="preserve"> </t>
  </si>
  <si>
    <t>DISTRIBUTION SALES</t>
  </si>
  <si>
    <t>Commission paid</t>
  </si>
  <si>
    <t>Date of sales</t>
  </si>
  <si>
    <t>Dealer name</t>
  </si>
  <si>
    <t>Sellers name</t>
  </si>
  <si>
    <t xml:space="preserve">Model </t>
  </si>
  <si>
    <t>Selling price</t>
  </si>
  <si>
    <r>
      <rPr>
        <rFont val="Arial"/>
        <b/>
        <color rgb="FFF3F3F3"/>
      </rPr>
      <t xml:space="preserve">Total selling value
</t>
    </r>
    <r>
      <rPr>
        <rFont val="Arial"/>
        <b/>
        <i/>
        <color rgb="FFF3F3F3"/>
      </rPr>
      <t>(Amount to collect)</t>
    </r>
  </si>
  <si>
    <t>Profit</t>
  </si>
  <si>
    <t>To be paid</t>
  </si>
  <si>
    <t>Paid</t>
  </si>
  <si>
    <t>Date of collection</t>
  </si>
  <si>
    <t>Collected Amount</t>
  </si>
  <si>
    <t>Nurdin</t>
  </si>
  <si>
    <t>Golden</t>
  </si>
  <si>
    <t>28th Jan 2026</t>
  </si>
  <si>
    <t>02nd Jan 26</t>
  </si>
  <si>
    <t>30th &amp;31st Jan 2026</t>
  </si>
  <si>
    <t>22nd January</t>
  </si>
  <si>
    <t>22nd Jan</t>
  </si>
  <si>
    <t>Agent SALES</t>
  </si>
  <si>
    <t>Customer name</t>
  </si>
  <si>
    <r>
      <rPr>
        <rFont val="Arial"/>
        <b/>
        <color theme="1"/>
      </rPr>
      <t xml:space="preserve">Total selling value
</t>
    </r>
    <r>
      <rPr>
        <rFont val="Arial"/>
        <b/>
        <i/>
        <color rgb="FFFF0000"/>
      </rPr>
      <t>(Amount to collect)</t>
    </r>
  </si>
  <si>
    <t>Watu Simu</t>
  </si>
  <si>
    <t>A05 64GB</t>
  </si>
  <si>
    <t>Amina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</si>
</sst>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#,##0.00;(#,##0.00)"/>
    <numFmt numFmtId="166" formatCode="#,##0;(#,##0)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rgb="FFF3F3F3"/>
      <name val="Arial"/>
    </font>
    <font>
      <color rgb="FFF3F3F3"/>
      <name val="Arial"/>
    </font>
    <font>
      <b/>
      <color rgb="FFFF0000"/>
      <name val="Arial"/>
    </font>
    <font>
      <color rgb="FFFF0000"/>
      <name val="Arial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BBC04"/>
        <bgColor rgb="FFFBBC0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3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2" fontId="2" numFmtId="10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2" numFmtId="10" xfId="0" applyAlignment="1" applyFont="1" applyNumberFormat="1">
      <alignment vertical="bottom"/>
    </xf>
    <xf borderId="0" fillId="0" fontId="2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1" fillId="3" fontId="1" numFmtId="0" xfId="0" applyBorder="1" applyFont="1"/>
    <xf borderId="1" fillId="3" fontId="1" numFmtId="3" xfId="0" applyAlignment="1" applyBorder="1" applyFont="1" applyNumberFormat="1">
      <alignment horizontal="center"/>
    </xf>
    <xf borderId="0" fillId="2" fontId="1" numFmtId="3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3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center" vertical="bottom"/>
    </xf>
    <xf borderId="1" fillId="4" fontId="4" numFmtId="0" xfId="0" applyAlignment="1" applyBorder="1" applyFill="1" applyFont="1">
      <alignment horizontal="center"/>
    </xf>
    <xf borderId="1" fillId="4" fontId="4" numFmtId="3" xfId="0" applyAlignment="1" applyBorder="1" applyFont="1" applyNumberFormat="1">
      <alignment horizontal="center"/>
    </xf>
    <xf borderId="1" fillId="0" fontId="6" numFmtId="0" xfId="0" applyBorder="1" applyFont="1"/>
    <xf borderId="1" fillId="0" fontId="7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2" numFmtId="3" xfId="0" applyFont="1" applyNumberFormat="1"/>
    <xf borderId="1" fillId="0" fontId="1" numFmtId="3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1" fillId="0" fontId="1" numFmtId="0" xfId="0" applyBorder="1" applyFont="1"/>
    <xf borderId="1" fillId="0" fontId="2" numFmtId="3" xfId="0" applyAlignment="1" applyBorder="1" applyFont="1" applyNumberFormat="1">
      <alignment horizontal="center"/>
    </xf>
    <xf borderId="0" fillId="0" fontId="2" numFmtId="3" xfId="0" applyFont="1" applyNumberFormat="1"/>
    <xf borderId="0" fillId="0" fontId="2" numFmtId="0" xfId="0" applyFont="1"/>
    <xf borderId="0" fillId="2" fontId="2" numFmtId="165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1" fillId="0" fontId="2" numFmtId="3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2" numFmtId="3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vertical="bottom"/>
    </xf>
    <xf borderId="1" fillId="3" fontId="2" numFmtId="3" xfId="0" applyAlignment="1" applyBorder="1" applyFont="1" applyNumberFormat="1">
      <alignment vertical="bottom"/>
    </xf>
    <xf borderId="1" fillId="0" fontId="2" numFmtId="0" xfId="0" applyBorder="1" applyFont="1"/>
    <xf borderId="1" fillId="2" fontId="2" numFmtId="0" xfId="0" applyAlignment="1" applyBorder="1" applyFont="1">
      <alignment vertical="bottom"/>
    </xf>
    <xf borderId="1" fillId="2" fontId="2" numFmtId="165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1" fillId="5" fontId="1" numFmtId="3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center" vertical="bottom"/>
    </xf>
    <xf borderId="5" fillId="0" fontId="2" numFmtId="0" xfId="0" applyBorder="1" applyFont="1"/>
    <xf borderId="1" fillId="0" fontId="2" numFmtId="3" xfId="0" applyAlignment="1" applyBorder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0" fillId="3" fontId="2" numFmtId="0" xfId="0" applyAlignment="1" applyFont="1">
      <alignment vertical="bottom"/>
    </xf>
    <xf borderId="0" fillId="3" fontId="2" numFmtId="3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/>
    </xf>
    <xf borderId="2" fillId="3" fontId="1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1" fillId="2" fontId="2" numFmtId="3" xfId="0" applyAlignment="1" applyBorder="1" applyFont="1" applyNumberForma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165" xfId="0" applyAlignment="1" applyBorder="1" applyFont="1" applyNumberFormat="1">
      <alignment horizontal="center" vertical="bottom"/>
    </xf>
    <xf borderId="1" fillId="2" fontId="2" numFmtId="164" xfId="0" applyAlignment="1" applyBorder="1" applyFont="1" applyNumberFormat="1">
      <alignment horizontal="center" vertical="bottom"/>
    </xf>
    <xf borderId="0" fillId="2" fontId="5" numFmtId="3" xfId="0" applyAlignment="1" applyFont="1" applyNumberFormat="1">
      <alignment horizontal="center" vertical="bottom"/>
    </xf>
    <xf borderId="2" fillId="4" fontId="4" numFmtId="3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8" numFmtId="164" xfId="0" applyAlignment="1" applyBorder="1" applyFont="1" applyNumberFormat="1">
      <alignment horizontal="center" vertical="bottom"/>
    </xf>
    <xf borderId="1" fillId="0" fontId="9" numFmtId="3" xfId="0" applyAlignment="1" applyBorder="1" applyFont="1" applyNumberFormat="1">
      <alignment horizontal="center"/>
    </xf>
    <xf borderId="1" fillId="0" fontId="2" numFmtId="3" xfId="0" applyBorder="1" applyFont="1" applyNumberFormat="1"/>
    <xf borderId="5" fillId="0" fontId="2" numFmtId="3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7" fillId="0" fontId="2" numFmtId="3" xfId="0" applyAlignment="1" applyBorder="1" applyFont="1" applyNumberFormat="1">
      <alignment horizontal="center" vertical="bottom"/>
    </xf>
    <xf borderId="7" fillId="0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3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0" fillId="0" fontId="2" numFmtId="9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0" fillId="3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bottom"/>
    </xf>
    <xf borderId="1" fillId="2" fontId="2" numFmtId="3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2" fontId="2" numFmtId="1" xfId="0" applyFont="1" applyNumberFormat="1"/>
    <xf borderId="1" fillId="3" fontId="2" numFmtId="0" xfId="0" applyAlignment="1" applyBorder="1" applyFont="1">
      <alignment horizontal="right" vertical="bottom"/>
    </xf>
    <xf borderId="1" fillId="3" fontId="2" numFmtId="3" xfId="0" applyAlignment="1" applyBorder="1" applyFont="1" applyNumberFormat="1">
      <alignment horizontal="right" vertical="bottom"/>
    </xf>
    <xf borderId="0" fillId="0" fontId="2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7" max="27" width="16.0"/>
    <col customWidth="1" min="30" max="30" width="20.38"/>
    <col customWidth="1" min="31" max="31" width="14.38"/>
    <col customWidth="1" min="32" max="32" width="13.75"/>
    <col customWidth="1" min="33" max="33" width="14.63"/>
    <col customWidth="1" min="35" max="35" width="17.5"/>
    <col customWidth="1" min="37" max="37" width="17.5"/>
    <col customWidth="1" min="38" max="38" width="16.13"/>
    <col customWidth="1" min="40" max="40" width="16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  <c r="AB1" s="4"/>
      <c r="AC1" s="3"/>
      <c r="AD1" s="5" t="s">
        <v>1</v>
      </c>
      <c r="AE1" s="2"/>
      <c r="AF1" s="3"/>
      <c r="AG1" s="3"/>
      <c r="AH1" s="3"/>
      <c r="AI1" s="3"/>
      <c r="AJ1" s="3"/>
      <c r="AK1" s="3"/>
      <c r="AL1" s="3"/>
      <c r="AM1" s="6"/>
      <c r="AN1" s="1" t="s">
        <v>2</v>
      </c>
      <c r="AP1" s="3"/>
      <c r="AQ1" s="3"/>
      <c r="AR1" s="3"/>
      <c r="AS1" s="3"/>
    </row>
    <row r="2">
      <c r="A2" s="7"/>
      <c r="B2" s="8"/>
      <c r="C2" s="7"/>
      <c r="D2" s="9">
        <v>45992.0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6"/>
      <c r="Y2" s="6"/>
      <c r="Z2" s="12"/>
      <c r="AA2" s="6" t="s">
        <v>3</v>
      </c>
      <c r="AB2" s="13" t="str">
        <f>(SUM(D15,D31,D47,D63,D79,D96,D113,#REF!,D127,D144,D162,D178,D194,D210,D226,D242,D258,D274,D290,D306,D322,D338,D354,D370,D386,D402,D418,D434,D450,D466,D482)-SUM(E482:F482,E466:F466,E450:F450,E434:F434,E418:F418,E402:F402,E386:F386,E370:F370,E354:F354,E338:F338,E322:F322,E306:F306,E290:F290,E274:F274,E258:F258,E242:F242,E226:F226,E210:F210,E194:F194,E178:F178,E162:F162,E144:F144,E127:F127,#REF!,E113:F113,E96:F96,E79:F79,E63:F63,E47:F47,E31:F31,E15:F15,))</f>
        <v>#REF!</v>
      </c>
      <c r="AC2" s="6"/>
      <c r="AD2" s="6"/>
      <c r="AE2" s="14"/>
      <c r="AF2" s="6"/>
      <c r="AG2" s="6"/>
      <c r="AH2" s="6"/>
      <c r="AI2" s="6"/>
      <c r="AJ2" s="6"/>
      <c r="AK2" s="6"/>
      <c r="AL2" s="6"/>
      <c r="AM2" s="6"/>
      <c r="AN2" s="15" t="s">
        <v>4</v>
      </c>
      <c r="AO2" s="16" t="s">
        <v>5</v>
      </c>
      <c r="AP2" s="17"/>
      <c r="AQ2" s="18"/>
      <c r="AR2" s="3"/>
      <c r="AS2" s="3"/>
    </row>
    <row r="3">
      <c r="A3" s="19" t="s">
        <v>6</v>
      </c>
      <c r="B3" s="20" t="b">
        <v>0</v>
      </c>
      <c r="C3" s="7"/>
      <c r="D3" s="21" t="s">
        <v>7</v>
      </c>
      <c r="E3" s="11"/>
      <c r="F3" s="7"/>
      <c r="G3" s="21" t="s">
        <v>8</v>
      </c>
      <c r="H3" s="11"/>
      <c r="I3" s="21" t="s">
        <v>9</v>
      </c>
      <c r="J3" s="11"/>
      <c r="K3" s="22" t="s">
        <v>10</v>
      </c>
      <c r="L3" s="11"/>
      <c r="M3" s="21" t="s">
        <v>11</v>
      </c>
      <c r="N3" s="11"/>
      <c r="O3" s="21" t="s">
        <v>12</v>
      </c>
      <c r="P3" s="11"/>
      <c r="Q3" s="21" t="s">
        <v>13</v>
      </c>
      <c r="R3" s="11"/>
      <c r="S3" s="21" t="s">
        <v>14</v>
      </c>
      <c r="T3" s="11"/>
      <c r="U3" s="23" t="s">
        <v>15</v>
      </c>
      <c r="V3" s="24" t="s">
        <v>16</v>
      </c>
      <c r="W3" s="10"/>
      <c r="X3" s="10"/>
      <c r="Y3" s="11"/>
      <c r="Z3" s="12"/>
      <c r="AA3" s="25" t="s">
        <v>17</v>
      </c>
      <c r="AB3" s="26" t="str">
        <f>SUM(G15,G31,G47,G63,G79,G96,G113,#REF!,G127,G144,G162,G178,G194,G210,G226,G242,G258,G274,G290,G306,G322,G338,G354,G370,G386,G402,G418,G434,G450,G466,G482)-SUM(H15,H31,H47,H63,H79,H96,H113,#REF!,H127,H144,H162,H178,H194,H210,H226,H242,H258,H274,H290,H306,H322,H338,H354,H370,H386,H402,H418,H434,H450,H466,H482)</f>
        <v>#REF!</v>
      </c>
      <c r="AC3" s="6"/>
      <c r="AD3" s="27" t="s">
        <v>18</v>
      </c>
      <c r="AE3" s="28" t="s">
        <v>19</v>
      </c>
      <c r="AF3" s="27" t="s">
        <v>20</v>
      </c>
      <c r="AG3" s="27" t="s">
        <v>21</v>
      </c>
      <c r="AH3" s="27" t="s">
        <v>22</v>
      </c>
      <c r="AI3" s="28" t="s">
        <v>23</v>
      </c>
      <c r="AJ3" s="28" t="s">
        <v>24</v>
      </c>
      <c r="AK3" s="28" t="s">
        <v>25</v>
      </c>
      <c r="AL3" s="28" t="s">
        <v>26</v>
      </c>
      <c r="AM3" s="6"/>
      <c r="AN3" s="29" t="s">
        <v>27</v>
      </c>
      <c r="AO3" s="30" t="str">
        <f>AL34+'Stock inhand summary November'!AJ34+'Stock in Hand summary September'!AG34</f>
        <v>#REF!</v>
      </c>
      <c r="AP3" s="31"/>
      <c r="AQ3" s="32"/>
      <c r="AR3" s="33"/>
      <c r="AS3" s="33"/>
    </row>
    <row r="4">
      <c r="A4" s="7"/>
      <c r="B4" s="34" t="s">
        <v>28</v>
      </c>
      <c r="C4" s="35" t="s">
        <v>29</v>
      </c>
      <c r="D4" s="35" t="s">
        <v>30</v>
      </c>
      <c r="E4" s="35" t="s">
        <v>31</v>
      </c>
      <c r="F4" s="35" t="s">
        <v>32</v>
      </c>
      <c r="G4" s="35" t="s">
        <v>33</v>
      </c>
      <c r="H4" s="35" t="s">
        <v>31</v>
      </c>
      <c r="I4" s="35" t="s">
        <v>33</v>
      </c>
      <c r="J4" s="35" t="s">
        <v>31</v>
      </c>
      <c r="K4" s="35" t="s">
        <v>33</v>
      </c>
      <c r="L4" s="35" t="s">
        <v>31</v>
      </c>
      <c r="M4" s="35" t="s">
        <v>33</v>
      </c>
      <c r="N4" s="35" t="s">
        <v>31</v>
      </c>
      <c r="O4" s="35" t="s">
        <v>33</v>
      </c>
      <c r="P4" s="35" t="s">
        <v>31</v>
      </c>
      <c r="Q4" s="35" t="s">
        <v>33</v>
      </c>
      <c r="R4" s="35" t="s">
        <v>31</v>
      </c>
      <c r="S4" s="35" t="s">
        <v>33</v>
      </c>
      <c r="T4" s="35" t="s">
        <v>31</v>
      </c>
      <c r="U4" s="35" t="s">
        <v>34</v>
      </c>
      <c r="V4" s="36" t="s">
        <v>7</v>
      </c>
      <c r="W4" s="36" t="s">
        <v>35</v>
      </c>
      <c r="X4" s="36" t="s">
        <v>36</v>
      </c>
      <c r="Y4" s="36" t="s">
        <v>37</v>
      </c>
      <c r="Z4" s="12"/>
      <c r="AA4" s="6" t="s">
        <v>38</v>
      </c>
      <c r="AB4" s="13" t="str">
        <f>SUM(I16,I32,I48,I64,I80,I97,I114,#REF!,I128,I145,I163,I179,I195,I211,I227,I243,I259,I275,I291,I307,I323,I339,I355,I371,I387,I403,I419,I435,I451,I467,I483)-SUM(J16,J32,J48,J64,J80,J97,J114,#REF!,J128,J145,J163,J179,J195,J211,J227,J243,J259,J275,J291,J307,J323,J339,J355,J371,J387,J403,J419,J435,J451,J467,J483)</f>
        <v>#REF!</v>
      </c>
      <c r="AC4" s="37" t="b">
        <v>1</v>
      </c>
      <c r="AD4" s="38">
        <v>45995.0</v>
      </c>
      <c r="AE4" s="34" t="s">
        <v>39</v>
      </c>
      <c r="AF4" s="35" t="s">
        <v>40</v>
      </c>
      <c r="AG4" s="35">
        <v>620.0</v>
      </c>
      <c r="AH4" s="39">
        <v>170000.0</v>
      </c>
      <c r="AI4" s="39">
        <f>AG4*AH4</f>
        <v>105400000</v>
      </c>
      <c r="AJ4" s="38">
        <v>45995.0</v>
      </c>
      <c r="AK4" s="39">
        <v>1.054E8</v>
      </c>
      <c r="AL4" s="39">
        <f>AI4-AK4</f>
        <v>0</v>
      </c>
      <c r="AM4" s="6"/>
      <c r="AN4" s="40" t="s">
        <v>41</v>
      </c>
      <c r="AO4" s="41" t="str">
        <f>AR62+'Stock inhand summary November'!AQ62+'Stock inhand summary October'!AP62+'Stock in Hand summary September'!AN64</f>
        <v>#REF!</v>
      </c>
      <c r="AP4" s="42"/>
      <c r="AQ4" s="43"/>
      <c r="AR4" s="44"/>
      <c r="AS4" s="45"/>
    </row>
    <row r="5">
      <c r="A5" s="7" t="s">
        <v>42</v>
      </c>
      <c r="B5" s="46">
        <v>335000.0</v>
      </c>
      <c r="C5" s="7"/>
      <c r="D5" s="47">
        <v>1.0</v>
      </c>
      <c r="E5" s="7"/>
      <c r="F5" s="7"/>
      <c r="G5" s="47">
        <v>15.0</v>
      </c>
      <c r="H5" s="47">
        <v>1.0</v>
      </c>
      <c r="I5" s="47">
        <v>8.0</v>
      </c>
      <c r="J5" s="7"/>
      <c r="K5" s="47">
        <v>26.0</v>
      </c>
      <c r="L5" s="7"/>
      <c r="M5" s="47">
        <v>12.0</v>
      </c>
      <c r="N5" s="7"/>
      <c r="O5" s="7"/>
      <c r="P5" s="7"/>
      <c r="Q5" s="47">
        <v>1.0</v>
      </c>
      <c r="R5" s="7"/>
      <c r="S5" s="7"/>
      <c r="T5" s="7"/>
      <c r="U5" s="7"/>
      <c r="V5" s="48">
        <f t="shared" ref="V5:V8" si="1">F5+H5+J5+L5</f>
        <v>1</v>
      </c>
      <c r="W5" s="48">
        <f t="shared" ref="W5:W14" si="2">G5+I5+K5+M5+O5+Q5+S5</f>
        <v>62</v>
      </c>
      <c r="X5" s="48">
        <f t="shared" ref="X5:X8" si="3">V5+W5</f>
        <v>63</v>
      </c>
      <c r="Y5" s="49">
        <f t="shared" ref="Y5:Y8" si="4">B5*X5</f>
        <v>21105000</v>
      </c>
      <c r="Z5" s="12"/>
      <c r="AA5" s="6" t="s">
        <v>43</v>
      </c>
      <c r="AB5" s="13" t="str">
        <f>SUM(K16,K32,K48,K64,K80,K97,K114,#REF!,K128,K145,K163,K179,K195,K211,K227,K243,K259,K275,K291,K307,K323,K339,K355,K371,K387,K403,K419,K435,K451,K467,K483) -SUM(L16,L32,L48,L64,L80,L97,L114,#REF!,L128,L145,L163,L179,L195,L211,L227,L243,L259,L275,L291,L307,L323,L339,L355,L371,L387,L403,L419,L435,L451,L467,L483)</f>
        <v>#REF!</v>
      </c>
      <c r="AC5" s="37" t="b">
        <v>1</v>
      </c>
      <c r="AD5" s="38"/>
      <c r="AE5" s="34"/>
      <c r="AF5" s="35"/>
      <c r="AG5" s="47"/>
      <c r="AH5" s="50"/>
      <c r="AI5" s="39"/>
      <c r="AJ5" s="38"/>
      <c r="AK5" s="39"/>
      <c r="AL5" s="39"/>
      <c r="AM5" s="6"/>
      <c r="AN5" s="40" t="s">
        <v>44</v>
      </c>
      <c r="AO5" s="41" t="str">
        <f>AO4-#REF!</f>
        <v>#REF!</v>
      </c>
      <c r="AP5" s="14"/>
      <c r="AQ5" s="6"/>
      <c r="AR5" s="44"/>
      <c r="AS5" s="45"/>
    </row>
    <row r="6">
      <c r="A6" s="7" t="s">
        <v>45</v>
      </c>
      <c r="B6" s="13">
        <v>395000.0</v>
      </c>
      <c r="C6" s="6"/>
      <c r="D6" s="7"/>
      <c r="E6" s="7"/>
      <c r="F6" s="7"/>
      <c r="G6" s="47">
        <v>18.0</v>
      </c>
      <c r="H6" s="7"/>
      <c r="I6" s="47">
        <v>3.0</v>
      </c>
      <c r="J6" s="7"/>
      <c r="K6" s="7"/>
      <c r="L6" s="7"/>
      <c r="M6" s="47">
        <v>3.0</v>
      </c>
      <c r="N6" s="7"/>
      <c r="O6" s="47">
        <v>5.0</v>
      </c>
      <c r="P6" s="47">
        <v>1.0</v>
      </c>
      <c r="Q6" s="47">
        <v>1.0</v>
      </c>
      <c r="R6" s="7"/>
      <c r="S6" s="7"/>
      <c r="T6" s="7"/>
      <c r="U6" s="7"/>
      <c r="V6" s="48">
        <f t="shared" si="1"/>
        <v>0</v>
      </c>
      <c r="W6" s="48">
        <f t="shared" si="2"/>
        <v>30</v>
      </c>
      <c r="X6" s="48">
        <f t="shared" si="3"/>
        <v>30</v>
      </c>
      <c r="Y6" s="49">
        <f t="shared" si="4"/>
        <v>11850000</v>
      </c>
      <c r="Z6" s="12"/>
      <c r="AA6" s="6" t="s">
        <v>46</v>
      </c>
      <c r="AB6" s="13" t="str">
        <f>SUM(M16,M32,M48,M64,M80,M97,M114,#REF!,M128,M145,M163,M179,M195,M211,M227,M243,M259,M275,M291,M307,M323,M339,M355,M371,M387,M403,M419,M435,M451,M467,M483) -SUM(N16,N32,N48,N64,N80,N97,N114,#REF!,N128,N145,N163,N179,N195,N211,N227,N243,N259,N275,N291,N307,N323,N339,N355,N371,N387,N403,N419,N435,N451,N467,N483)</f>
        <v>#REF!</v>
      </c>
      <c r="AC6" s="37" t="b">
        <v>1</v>
      </c>
      <c r="AD6" s="38"/>
      <c r="AE6" s="34"/>
      <c r="AF6" s="35"/>
      <c r="AG6" s="47"/>
      <c r="AH6" s="50"/>
      <c r="AI6" s="39"/>
      <c r="AJ6" s="38"/>
      <c r="AK6" s="39"/>
      <c r="AL6" s="39"/>
      <c r="AM6" s="6"/>
      <c r="AN6" s="40" t="s">
        <v>47</v>
      </c>
      <c r="AO6" s="51">
        <f>Y16</f>
        <v>77560000</v>
      </c>
      <c r="AP6" s="14"/>
      <c r="AQ6" s="6"/>
      <c r="AR6" s="44"/>
      <c r="AS6" s="45"/>
    </row>
    <row r="7">
      <c r="A7" s="7" t="s">
        <v>48</v>
      </c>
      <c r="B7" s="46">
        <v>450000.0</v>
      </c>
      <c r="C7" s="7"/>
      <c r="D7" s="47">
        <v>1.0</v>
      </c>
      <c r="E7" s="7"/>
      <c r="F7" s="7"/>
      <c r="G7" s="47">
        <v>1.0</v>
      </c>
      <c r="H7" s="7"/>
      <c r="I7" s="7"/>
      <c r="J7" s="7"/>
      <c r="K7" s="47">
        <v>3.0</v>
      </c>
      <c r="L7" s="7"/>
      <c r="M7" s="7"/>
      <c r="N7" s="7"/>
      <c r="O7" s="7"/>
      <c r="P7" s="7"/>
      <c r="Q7" s="7"/>
      <c r="R7" s="7"/>
      <c r="S7" s="7"/>
      <c r="T7" s="7"/>
      <c r="U7" s="7"/>
      <c r="V7" s="48">
        <f t="shared" si="1"/>
        <v>0</v>
      </c>
      <c r="W7" s="48">
        <f t="shared" si="2"/>
        <v>4</v>
      </c>
      <c r="X7" s="48">
        <f t="shared" si="3"/>
        <v>4</v>
      </c>
      <c r="Y7" s="49">
        <f t="shared" si="4"/>
        <v>1800000</v>
      </c>
      <c r="Z7" s="12"/>
      <c r="AA7" s="12" t="s">
        <v>12</v>
      </c>
      <c r="AB7" s="13" t="str">
        <f>SUM(O16,O32,O48,O64,O80,O97,O114,#REF!,O128,O145,O163,O179,O195,O211,O227,O243,O259,O275,O291,O307,O323,O339,O355,O371,O387,O403,O419,O435,O451,O467,O483) -SUM(P16,P32,P48,P64,P80,P97,P114,#REF!,P128,P145,P163,P179,P195,P211,P227,P243,P259,P275,P291,P307,P323,P339,P355,P371,P387,P403,P419,P435,P451,P467,P483)</f>
        <v>#REF!</v>
      </c>
      <c r="AC7" s="37" t="b">
        <v>1</v>
      </c>
      <c r="AD7" s="38"/>
      <c r="AE7" s="34"/>
      <c r="AF7" s="35"/>
      <c r="AG7" s="47"/>
      <c r="AH7" s="50"/>
      <c r="AI7" s="39"/>
      <c r="AJ7" s="38"/>
      <c r="AK7" s="39"/>
      <c r="AL7" s="39"/>
      <c r="AM7" s="6"/>
      <c r="AN7" s="40" t="s">
        <v>49</v>
      </c>
      <c r="AO7" s="41" t="str">
        <f>sum(AO4:AO6)</f>
        <v>#REF!</v>
      </c>
      <c r="AP7" s="14"/>
      <c r="AQ7" s="6"/>
      <c r="AR7" s="44"/>
      <c r="AS7" s="45"/>
    </row>
    <row r="8">
      <c r="A8" s="7" t="s">
        <v>50</v>
      </c>
      <c r="B8" s="46">
        <v>575000.0</v>
      </c>
      <c r="C8" s="7"/>
      <c r="D8" s="47">
        <v>1.0</v>
      </c>
      <c r="E8" s="7"/>
      <c r="F8" s="7"/>
      <c r="G8" s="47">
        <v>6.0</v>
      </c>
      <c r="H8" s="7"/>
      <c r="I8" s="7"/>
      <c r="J8" s="7"/>
      <c r="K8" s="7"/>
      <c r="L8" s="7"/>
      <c r="M8" s="47">
        <v>1.0</v>
      </c>
      <c r="N8" s="7"/>
      <c r="O8" s="7"/>
      <c r="P8" s="7"/>
      <c r="Q8" s="7"/>
      <c r="R8" s="7"/>
      <c r="S8" s="7"/>
      <c r="T8" s="7"/>
      <c r="U8" s="7"/>
      <c r="V8" s="48">
        <f t="shared" si="1"/>
        <v>0</v>
      </c>
      <c r="W8" s="48">
        <f t="shared" si="2"/>
        <v>7</v>
      </c>
      <c r="X8" s="48">
        <f t="shared" si="3"/>
        <v>7</v>
      </c>
      <c r="Y8" s="49">
        <f t="shared" si="4"/>
        <v>4025000</v>
      </c>
      <c r="Z8" s="12"/>
      <c r="AA8" s="6" t="s">
        <v>51</v>
      </c>
      <c r="AB8" s="13" t="str">
        <f>SUM(Q16,Q32,Q48,Q64,Q80,Q97,Q114,#REF!,Q128,Q145,Q163,Q179,Q195,Q211,Q227,Q243,Q259,Q275,Q291,Q307,Q323,Q339,Q355,Q371,Q387,Q403,Q419,Q435,Q451,Q467,Q483) -SUM(R16,R32,R48,R64,R80,R97,R114,#REF!,R128,R145,R163,R179,R195,R211,R227,R243,R259,R275,R291,R307,R323,R339,R355,R371,R387,R403,R419,R435,R451,R467,R483)</f>
        <v>#REF!</v>
      </c>
      <c r="AC8" s="37" t="b">
        <v>1</v>
      </c>
      <c r="AD8" s="38"/>
      <c r="AE8" s="34"/>
      <c r="AF8" s="35"/>
      <c r="AG8" s="47"/>
      <c r="AH8" s="50"/>
      <c r="AI8" s="39"/>
      <c r="AJ8" s="38"/>
      <c r="AK8" s="39"/>
      <c r="AL8" s="39"/>
      <c r="AM8" s="6"/>
      <c r="AN8" s="52" t="s">
        <v>52</v>
      </c>
      <c r="AO8" s="41">
        <f>AM62+AM116</f>
        <v>4145000</v>
      </c>
      <c r="AP8" s="14"/>
      <c r="AQ8" s="6"/>
      <c r="AR8" s="44"/>
      <c r="AS8" s="45"/>
    </row>
    <row r="9">
      <c r="A9" s="7" t="s">
        <v>53</v>
      </c>
      <c r="B9" s="53">
        <v>262000.0</v>
      </c>
      <c r="C9" s="7"/>
      <c r="D9" s="47">
        <v>1.0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47">
        <v>1.0</v>
      </c>
      <c r="R9" s="7"/>
      <c r="S9" s="47">
        <v>1.0</v>
      </c>
      <c r="T9" s="7"/>
      <c r="U9" s="7"/>
      <c r="V9" s="54"/>
      <c r="W9" s="48">
        <f t="shared" si="2"/>
        <v>2</v>
      </c>
      <c r="X9" s="54"/>
      <c r="Y9" s="55"/>
      <c r="Z9" s="12"/>
      <c r="AA9" s="12" t="s">
        <v>14</v>
      </c>
      <c r="AB9" s="13" t="str">
        <f>SUM(S16,S32,S48,S64,S80,S97,S114,#REF!,S128,S145,S163,S179,S195,S211,S227,S243,S259,S275,S291,S307,S323,S339,S355,S371,S387,S403,S419,S435,S451,S467,S483) -SUM(T16,T32,T48,T64,T80,T97,T114,#REF!,T128,T145,T163,T179,T195,T211,T227,T243,T259,T275,T291,T307,T323,T339,T355,T371,T387,T403,T419,T435,T451,T467,T483)</f>
        <v>#REF!</v>
      </c>
      <c r="AC9" s="37" t="b">
        <v>1</v>
      </c>
      <c r="AD9" s="38"/>
      <c r="AE9" s="34"/>
      <c r="AF9" s="35"/>
      <c r="AG9" s="47"/>
      <c r="AH9" s="50"/>
      <c r="AI9" s="39"/>
      <c r="AJ9" s="38"/>
      <c r="AK9" s="39"/>
      <c r="AL9" s="39"/>
      <c r="AM9" s="6"/>
      <c r="AN9" s="56" t="s">
        <v>54</v>
      </c>
      <c r="AO9" s="41" t="str">
        <f>AN62+AN116+Expenses!C520</f>
        <v>#REF!</v>
      </c>
      <c r="AP9" s="14"/>
      <c r="AQ9" s="6"/>
      <c r="AR9" s="44"/>
      <c r="AS9" s="45"/>
    </row>
    <row r="10">
      <c r="A10" s="7" t="s">
        <v>55</v>
      </c>
      <c r="B10" s="53">
        <v>185000.0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47">
        <v>1.0</v>
      </c>
      <c r="T10" s="7"/>
      <c r="U10" s="7"/>
      <c r="V10" s="54"/>
      <c r="W10" s="48">
        <f t="shared" si="2"/>
        <v>1</v>
      </c>
      <c r="X10" s="54"/>
      <c r="Y10" s="55"/>
      <c r="Z10" s="12"/>
      <c r="AA10" s="6"/>
      <c r="AB10" s="12"/>
      <c r="AC10" s="37" t="b">
        <v>0</v>
      </c>
      <c r="AD10" s="38"/>
      <c r="AE10" s="8"/>
      <c r="AF10" s="7"/>
      <c r="AG10" s="57"/>
      <c r="AH10" s="58"/>
      <c r="AI10" s="39"/>
      <c r="AJ10" s="38"/>
      <c r="AK10" s="59"/>
      <c r="AL10" s="39"/>
      <c r="AM10" s="6"/>
      <c r="AN10" s="56" t="s">
        <v>56</v>
      </c>
      <c r="AO10" s="60" t="str">
        <f>AO8-AO9</f>
        <v>#REF!</v>
      </c>
      <c r="AP10" s="14"/>
      <c r="AQ10" s="6"/>
      <c r="AR10" s="44"/>
      <c r="AS10" s="45"/>
    </row>
    <row r="11">
      <c r="A11" s="7" t="s">
        <v>57</v>
      </c>
      <c r="B11" s="53">
        <v>242000.0</v>
      </c>
      <c r="C11" s="7"/>
      <c r="D11" s="47">
        <v>1.0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47">
        <v>1.0</v>
      </c>
      <c r="R11" s="7"/>
      <c r="S11" s="47">
        <v>1.0</v>
      </c>
      <c r="T11" s="7"/>
      <c r="U11" s="7"/>
      <c r="V11" s="54"/>
      <c r="W11" s="48">
        <f t="shared" si="2"/>
        <v>2</v>
      </c>
      <c r="X11" s="54"/>
      <c r="Y11" s="55"/>
      <c r="Z11" s="12"/>
      <c r="AA11" s="61" t="s">
        <v>58</v>
      </c>
      <c r="AB11" s="62">
        <f>AG34-SUM(AH62,AH116)</f>
        <v>519</v>
      </c>
      <c r="AC11" s="37" t="b">
        <v>0</v>
      </c>
      <c r="AD11" s="38"/>
      <c r="AE11" s="8"/>
      <c r="AF11" s="7"/>
      <c r="AG11" s="57"/>
      <c r="AH11" s="58"/>
      <c r="AI11" s="39"/>
      <c r="AJ11" s="38"/>
      <c r="AK11" s="59"/>
      <c r="AL11" s="39"/>
      <c r="AM11" s="6"/>
      <c r="AN11" s="63" t="s">
        <v>59</v>
      </c>
      <c r="AO11" s="64" t="str">
        <f>AO10*0.3</f>
        <v>#REF!</v>
      </c>
      <c r="AP11" s="62"/>
      <c r="AQ11" s="6"/>
      <c r="AR11" s="44"/>
      <c r="AS11" s="45"/>
    </row>
    <row r="12">
      <c r="A12" s="7" t="s">
        <v>60</v>
      </c>
      <c r="B12" s="53">
        <v>202000.0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47">
        <v>1.0</v>
      </c>
      <c r="R12" s="7"/>
      <c r="S12" s="47">
        <v>1.0</v>
      </c>
      <c r="T12" s="7"/>
      <c r="U12" s="7"/>
      <c r="V12" s="54"/>
      <c r="W12" s="48">
        <f t="shared" si="2"/>
        <v>2</v>
      </c>
      <c r="X12" s="54"/>
      <c r="Y12" s="55"/>
      <c r="Z12" s="12"/>
      <c r="AA12" s="6"/>
      <c r="AB12" s="12"/>
      <c r="AC12" s="37" t="b">
        <v>0</v>
      </c>
      <c r="AD12" s="38"/>
      <c r="AE12" s="8"/>
      <c r="AF12" s="7"/>
      <c r="AG12" s="7"/>
      <c r="AH12" s="59"/>
      <c r="AI12" s="39"/>
      <c r="AJ12" s="38"/>
      <c r="AK12" s="59"/>
      <c r="AL12" s="39"/>
      <c r="AM12" s="6"/>
      <c r="AN12" s="65"/>
      <c r="AO12" s="46">
        <v>5000000.0</v>
      </c>
      <c r="AP12" s="62"/>
      <c r="AQ12" s="6"/>
      <c r="AR12" s="44"/>
      <c r="AS12" s="45"/>
    </row>
    <row r="13">
      <c r="A13" s="7" t="s">
        <v>61</v>
      </c>
      <c r="B13" s="53">
        <v>175000.0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47">
        <v>1.0</v>
      </c>
      <c r="R13" s="7"/>
      <c r="S13" s="47">
        <v>1.0</v>
      </c>
      <c r="T13" s="7"/>
      <c r="U13" s="7"/>
      <c r="V13" s="54"/>
      <c r="W13" s="48">
        <f t="shared" si="2"/>
        <v>2</v>
      </c>
      <c r="X13" s="54"/>
      <c r="Y13" s="55"/>
      <c r="Z13" s="12"/>
      <c r="AA13" s="12"/>
      <c r="AB13" s="12"/>
      <c r="AC13" s="6"/>
      <c r="AD13" s="38"/>
      <c r="AE13" s="8"/>
      <c r="AF13" s="7"/>
      <c r="AG13" s="7"/>
      <c r="AH13" s="59"/>
      <c r="AI13" s="39"/>
      <c r="AJ13" s="38"/>
      <c r="AK13" s="59"/>
      <c r="AL13" s="39"/>
      <c r="AM13" s="6"/>
      <c r="AN13" s="66"/>
      <c r="AO13" s="47" t="str">
        <f>AO11-AO12</f>
        <v>#REF!</v>
      </c>
      <c r="AP13" s="62"/>
      <c r="AQ13" s="6"/>
      <c r="AR13" s="44"/>
      <c r="AS13" s="45"/>
    </row>
    <row r="14">
      <c r="A14" s="7" t="s">
        <v>62</v>
      </c>
      <c r="B14" s="53">
        <v>233000.0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54"/>
      <c r="W14" s="48">
        <f t="shared" si="2"/>
        <v>0</v>
      </c>
      <c r="X14" s="54"/>
      <c r="Y14" s="55"/>
      <c r="Z14" s="12"/>
      <c r="AA14" s="12"/>
      <c r="AB14" s="12"/>
      <c r="AC14" s="6"/>
      <c r="AD14" s="38"/>
      <c r="AE14" s="8"/>
      <c r="AF14" s="7"/>
      <c r="AG14" s="7"/>
      <c r="AH14" s="59"/>
      <c r="AI14" s="39"/>
      <c r="AJ14" s="38"/>
      <c r="AK14" s="59"/>
      <c r="AL14" s="39"/>
      <c r="AM14" s="6"/>
      <c r="AN14" s="6"/>
      <c r="AO14" s="6"/>
      <c r="AP14" s="14"/>
      <c r="AQ14" s="6"/>
      <c r="AR14" s="44"/>
      <c r="AS14" s="45"/>
    </row>
    <row r="15">
      <c r="A15" s="7" t="s">
        <v>63</v>
      </c>
      <c r="B15" s="8"/>
      <c r="C15" s="7"/>
      <c r="D15" s="47">
        <f t="shared" ref="D15:W15" si="5">SUM(D5:D14)</f>
        <v>5</v>
      </c>
      <c r="E15" s="47">
        <f t="shared" si="5"/>
        <v>0</v>
      </c>
      <c r="F15" s="47">
        <f t="shared" si="5"/>
        <v>0</v>
      </c>
      <c r="G15" s="47">
        <f t="shared" si="5"/>
        <v>40</v>
      </c>
      <c r="H15" s="47">
        <f t="shared" si="5"/>
        <v>1</v>
      </c>
      <c r="I15" s="47">
        <f t="shared" si="5"/>
        <v>11</v>
      </c>
      <c r="J15" s="47">
        <f t="shared" si="5"/>
        <v>0</v>
      </c>
      <c r="K15" s="47">
        <f t="shared" si="5"/>
        <v>29</v>
      </c>
      <c r="L15" s="47">
        <f t="shared" si="5"/>
        <v>0</v>
      </c>
      <c r="M15" s="47">
        <f t="shared" si="5"/>
        <v>16</v>
      </c>
      <c r="N15" s="47">
        <f t="shared" si="5"/>
        <v>0</v>
      </c>
      <c r="O15" s="47">
        <f t="shared" si="5"/>
        <v>5</v>
      </c>
      <c r="P15" s="47">
        <f t="shared" si="5"/>
        <v>1</v>
      </c>
      <c r="Q15" s="47">
        <f t="shared" si="5"/>
        <v>6</v>
      </c>
      <c r="R15" s="47">
        <f t="shared" si="5"/>
        <v>0</v>
      </c>
      <c r="S15" s="47">
        <f t="shared" si="5"/>
        <v>5</v>
      </c>
      <c r="T15" s="47">
        <f t="shared" si="5"/>
        <v>0</v>
      </c>
      <c r="U15" s="47">
        <f t="shared" si="5"/>
        <v>0</v>
      </c>
      <c r="V15" s="48">
        <f t="shared" si="5"/>
        <v>1</v>
      </c>
      <c r="W15" s="48">
        <f t="shared" si="5"/>
        <v>112</v>
      </c>
      <c r="X15" s="48">
        <f>V15+W15</f>
        <v>113</v>
      </c>
      <c r="Y15" s="49">
        <f>SUM(Y5:Y14)</f>
        <v>38780000</v>
      </c>
      <c r="Z15" s="12"/>
      <c r="AA15" s="12"/>
      <c r="AB15" s="12"/>
      <c r="AC15" s="6"/>
      <c r="AD15" s="38"/>
      <c r="AE15" s="8"/>
      <c r="AF15" s="7"/>
      <c r="AG15" s="7"/>
      <c r="AH15" s="59"/>
      <c r="AI15" s="39"/>
      <c r="AJ15" s="38"/>
      <c r="AK15" s="59"/>
      <c r="AL15" s="39"/>
      <c r="AM15" s="6"/>
      <c r="AN15" s="6"/>
      <c r="AO15" s="6"/>
      <c r="AP15" s="14"/>
      <c r="AQ15" s="6"/>
      <c r="AR15" s="44"/>
      <c r="AS15" s="45"/>
    </row>
    <row r="16">
      <c r="A16" s="7" t="s">
        <v>64</v>
      </c>
      <c r="B16" s="8"/>
      <c r="C16" s="7"/>
      <c r="D16" s="7"/>
      <c r="E16" s="7"/>
      <c r="F16" s="7"/>
      <c r="G16" s="47">
        <f>G15-H15</f>
        <v>39</v>
      </c>
      <c r="H16" s="7"/>
      <c r="I16" s="47">
        <f>I15-J15</f>
        <v>11</v>
      </c>
      <c r="J16" s="7"/>
      <c r="K16" s="47">
        <f>K15-L15</f>
        <v>29</v>
      </c>
      <c r="L16" s="7"/>
      <c r="M16" s="47">
        <f>M15-N15</f>
        <v>16</v>
      </c>
      <c r="N16" s="7"/>
      <c r="O16" s="47">
        <f>O15-P15</f>
        <v>4</v>
      </c>
      <c r="P16" s="7"/>
      <c r="Q16" s="47">
        <f>Q15-R15</f>
        <v>6</v>
      </c>
      <c r="R16" s="7"/>
      <c r="S16" s="47">
        <f>S15-T15</f>
        <v>5</v>
      </c>
      <c r="T16" s="7"/>
      <c r="U16" s="7"/>
      <c r="V16" s="54"/>
      <c r="W16" s="54"/>
      <c r="X16" s="48">
        <f t="shared" ref="X16:Y16" si="6">sum(X5:X15)</f>
        <v>217</v>
      </c>
      <c r="Y16" s="49">
        <f t="shared" si="6"/>
        <v>77560000</v>
      </c>
      <c r="Z16" s="4"/>
      <c r="AA16" s="4"/>
      <c r="AB16" s="4"/>
      <c r="AC16" s="3"/>
      <c r="AD16" s="38"/>
      <c r="AE16" s="8"/>
      <c r="AF16" s="7"/>
      <c r="AG16" s="7"/>
      <c r="AH16" s="59"/>
      <c r="AI16" s="39"/>
      <c r="AJ16" s="38"/>
      <c r="AK16" s="59"/>
      <c r="AL16" s="39"/>
      <c r="AM16" s="6"/>
      <c r="AN16" s="6"/>
      <c r="AO16" s="6"/>
      <c r="AP16" s="14"/>
      <c r="AQ16" s="6"/>
      <c r="AR16" s="44"/>
      <c r="AS16" s="45"/>
    </row>
    <row r="17">
      <c r="A17" s="6"/>
      <c r="B17" s="1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7"/>
      <c r="W17" s="67"/>
      <c r="X17" s="67"/>
      <c r="Y17" s="68"/>
      <c r="Z17" s="4"/>
      <c r="AA17" s="4"/>
      <c r="AB17" s="4"/>
      <c r="AC17" s="3"/>
      <c r="AD17" s="38"/>
      <c r="AE17" s="8"/>
      <c r="AF17" s="7"/>
      <c r="AG17" s="7"/>
      <c r="AH17" s="59"/>
      <c r="AI17" s="39"/>
      <c r="AJ17" s="38"/>
      <c r="AK17" s="59"/>
      <c r="AL17" s="39"/>
      <c r="AM17" s="6"/>
      <c r="AN17" s="6"/>
      <c r="AO17" s="69"/>
      <c r="AP17" s="2"/>
      <c r="AQ17" s="3"/>
      <c r="AR17" s="44"/>
      <c r="AS17" s="45"/>
    </row>
    <row r="18">
      <c r="A18" s="7"/>
      <c r="B18" s="8"/>
      <c r="C18" s="7"/>
      <c r="D18" s="9">
        <v>45993.0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6"/>
      <c r="Y18" s="6"/>
      <c r="Z18" s="12"/>
      <c r="AA18" s="12"/>
      <c r="AB18" s="12"/>
      <c r="AC18" s="6"/>
      <c r="AD18" s="38"/>
      <c r="AE18" s="8"/>
      <c r="AF18" s="7"/>
      <c r="AG18" s="7"/>
      <c r="AH18" s="59"/>
      <c r="AI18" s="39"/>
      <c r="AJ18" s="38"/>
      <c r="AK18" s="59"/>
      <c r="AL18" s="39"/>
      <c r="AM18" s="6"/>
      <c r="AN18" s="6"/>
      <c r="AO18" s="69"/>
      <c r="AP18" s="2"/>
      <c r="AQ18" s="3"/>
      <c r="AR18" s="44"/>
      <c r="AS18" s="45"/>
    </row>
    <row r="19">
      <c r="A19" s="70" t="s">
        <v>6</v>
      </c>
      <c r="B19" s="34" t="b">
        <v>0</v>
      </c>
      <c r="C19" s="7"/>
      <c r="D19" s="71" t="s">
        <v>7</v>
      </c>
      <c r="E19" s="11"/>
      <c r="F19" s="7"/>
      <c r="G19" s="71" t="s">
        <v>8</v>
      </c>
      <c r="H19" s="11"/>
      <c r="I19" s="71" t="s">
        <v>9</v>
      </c>
      <c r="J19" s="11"/>
      <c r="K19" s="72" t="s">
        <v>10</v>
      </c>
      <c r="L19" s="11"/>
      <c r="M19" s="71" t="s">
        <v>11</v>
      </c>
      <c r="N19" s="11"/>
      <c r="O19" s="71" t="s">
        <v>12</v>
      </c>
      <c r="P19" s="11"/>
      <c r="Q19" s="71" t="s">
        <v>13</v>
      </c>
      <c r="R19" s="11"/>
      <c r="S19" s="71" t="s">
        <v>14</v>
      </c>
      <c r="T19" s="11"/>
      <c r="U19" s="35" t="s">
        <v>15</v>
      </c>
      <c r="V19" s="73" t="s">
        <v>16</v>
      </c>
      <c r="W19" s="10"/>
      <c r="X19" s="10"/>
      <c r="Y19" s="11"/>
      <c r="Z19" s="12"/>
      <c r="AA19" s="12"/>
      <c r="AB19" s="12"/>
      <c r="AC19" s="6"/>
      <c r="AD19" s="38"/>
      <c r="AE19" s="8"/>
      <c r="AF19" s="7"/>
      <c r="AG19" s="7"/>
      <c r="AH19" s="59"/>
      <c r="AI19" s="39"/>
      <c r="AJ19" s="38"/>
      <c r="AK19" s="59"/>
      <c r="AL19" s="39"/>
      <c r="AM19" s="6"/>
      <c r="AN19" s="6"/>
      <c r="AO19" s="69"/>
      <c r="AP19" s="14"/>
      <c r="AQ19" s="6"/>
      <c r="AR19" s="44"/>
      <c r="AS19" s="45"/>
    </row>
    <row r="20">
      <c r="A20" s="7"/>
      <c r="B20" s="34" t="s">
        <v>28</v>
      </c>
      <c r="C20" s="35" t="s">
        <v>29</v>
      </c>
      <c r="D20" s="35" t="s">
        <v>30</v>
      </c>
      <c r="E20" s="35" t="s">
        <v>31</v>
      </c>
      <c r="F20" s="35" t="s">
        <v>32</v>
      </c>
      <c r="G20" s="35" t="s">
        <v>33</v>
      </c>
      <c r="H20" s="35" t="s">
        <v>31</v>
      </c>
      <c r="I20" s="35" t="s">
        <v>33</v>
      </c>
      <c r="J20" s="35" t="s">
        <v>31</v>
      </c>
      <c r="K20" s="35" t="s">
        <v>33</v>
      </c>
      <c r="L20" s="35" t="s">
        <v>31</v>
      </c>
      <c r="M20" s="35" t="s">
        <v>33</v>
      </c>
      <c r="N20" s="35" t="s">
        <v>31</v>
      </c>
      <c r="O20" s="35" t="s">
        <v>33</v>
      </c>
      <c r="P20" s="35" t="s">
        <v>31</v>
      </c>
      <c r="Q20" s="35" t="s">
        <v>33</v>
      </c>
      <c r="R20" s="35" t="s">
        <v>31</v>
      </c>
      <c r="S20" s="35" t="s">
        <v>33</v>
      </c>
      <c r="T20" s="35" t="s">
        <v>31</v>
      </c>
      <c r="U20" s="35" t="s">
        <v>34</v>
      </c>
      <c r="V20" s="36" t="s">
        <v>7</v>
      </c>
      <c r="W20" s="36" t="s">
        <v>35</v>
      </c>
      <c r="X20" s="36" t="s">
        <v>36</v>
      </c>
      <c r="Y20" s="36" t="s">
        <v>37</v>
      </c>
      <c r="Z20" s="12"/>
      <c r="AA20" s="12"/>
      <c r="AB20" s="12"/>
      <c r="AC20" s="6"/>
      <c r="AD20" s="38"/>
      <c r="AE20" s="8"/>
      <c r="AF20" s="7"/>
      <c r="AG20" s="57"/>
      <c r="AH20" s="57"/>
      <c r="AI20" s="39"/>
      <c r="AJ20" s="38"/>
      <c r="AK20" s="7"/>
      <c r="AL20" s="39"/>
      <c r="AM20" s="6"/>
      <c r="AN20" s="6"/>
      <c r="AO20" s="69"/>
      <c r="AP20" s="14"/>
      <c r="AQ20" s="6"/>
      <c r="AR20" s="44"/>
      <c r="AS20" s="45"/>
    </row>
    <row r="21">
      <c r="A21" s="7" t="s">
        <v>42</v>
      </c>
      <c r="B21" s="46">
        <v>335000.0</v>
      </c>
      <c r="C21" s="7"/>
      <c r="D21" s="47">
        <v>1.0</v>
      </c>
      <c r="E21" s="7"/>
      <c r="F21" s="7"/>
      <c r="G21" s="47">
        <v>14.0</v>
      </c>
      <c r="H21" s="7"/>
      <c r="I21" s="47">
        <v>8.0</v>
      </c>
      <c r="J21" s="7"/>
      <c r="K21" s="47">
        <v>26.0</v>
      </c>
      <c r="L21" s="47">
        <v>2.0</v>
      </c>
      <c r="M21" s="47">
        <v>12.0</v>
      </c>
      <c r="N21" s="7"/>
      <c r="O21" s="7"/>
      <c r="P21" s="7"/>
      <c r="Q21" s="47">
        <v>1.0</v>
      </c>
      <c r="R21" s="7"/>
      <c r="S21" s="7"/>
      <c r="T21" s="7"/>
      <c r="U21" s="7"/>
      <c r="V21" s="48">
        <f t="shared" ref="V21:V24" si="7">F21+H21+J21+L21</f>
        <v>2</v>
      </c>
      <c r="W21" s="48">
        <f t="shared" ref="W21:W30" si="8">G21+I21+K21+M21+O21+Q21+S21</f>
        <v>61</v>
      </c>
      <c r="X21" s="48">
        <f t="shared" ref="X21:X24" si="9">V21+W21</f>
        <v>63</v>
      </c>
      <c r="Y21" s="49">
        <f t="shared" ref="Y21:Y24" si="10">B21*X21</f>
        <v>21105000</v>
      </c>
      <c r="Z21" s="12"/>
      <c r="AA21" s="12"/>
      <c r="AB21" s="12"/>
      <c r="AC21" s="14"/>
      <c r="AD21" s="38"/>
      <c r="AE21" s="8"/>
      <c r="AF21" s="7"/>
      <c r="AG21" s="7"/>
      <c r="AH21" s="7"/>
      <c r="AI21" s="39"/>
      <c r="AJ21" s="38"/>
      <c r="AK21" s="7"/>
      <c r="AL21" s="39"/>
      <c r="AM21" s="6"/>
      <c r="AN21" s="6"/>
      <c r="AO21" s="14"/>
      <c r="AP21" s="14"/>
      <c r="AQ21" s="6"/>
      <c r="AR21" s="44"/>
      <c r="AS21" s="45"/>
    </row>
    <row r="22">
      <c r="A22" s="7" t="s">
        <v>45</v>
      </c>
      <c r="B22" s="13">
        <v>395000.0</v>
      </c>
      <c r="C22" s="6"/>
      <c r="D22" s="7"/>
      <c r="E22" s="7"/>
      <c r="F22" s="7"/>
      <c r="G22" s="47">
        <v>18.0</v>
      </c>
      <c r="H22" s="7"/>
      <c r="I22" s="47">
        <v>3.0</v>
      </c>
      <c r="J22" s="7"/>
      <c r="K22" s="7"/>
      <c r="L22" s="7"/>
      <c r="M22" s="47">
        <v>3.0</v>
      </c>
      <c r="N22" s="7"/>
      <c r="O22" s="47">
        <v>4.0</v>
      </c>
      <c r="P22" s="47">
        <v>1.0</v>
      </c>
      <c r="Q22" s="47">
        <v>3.0</v>
      </c>
      <c r="R22" s="7"/>
      <c r="S22" s="7"/>
      <c r="T22" s="7"/>
      <c r="U22" s="7"/>
      <c r="V22" s="48">
        <f t="shared" si="7"/>
        <v>0</v>
      </c>
      <c r="W22" s="48">
        <f t="shared" si="8"/>
        <v>31</v>
      </c>
      <c r="X22" s="48">
        <f t="shared" si="9"/>
        <v>31</v>
      </c>
      <c r="Y22" s="49">
        <f t="shared" si="10"/>
        <v>12245000</v>
      </c>
      <c r="Z22" s="12"/>
      <c r="AA22" s="12"/>
      <c r="AB22" s="12"/>
      <c r="AC22" s="6"/>
      <c r="AD22" s="38"/>
      <c r="AE22" s="8"/>
      <c r="AF22" s="7"/>
      <c r="AG22" s="74"/>
      <c r="AH22" s="74"/>
      <c r="AI22" s="39"/>
      <c r="AJ22" s="38"/>
      <c r="AK22" s="7"/>
      <c r="AL22" s="39"/>
      <c r="AM22" s="6"/>
      <c r="AN22" s="6"/>
      <c r="AO22" s="69"/>
      <c r="AP22" s="14"/>
      <c r="AQ22" s="14"/>
      <c r="AR22" s="44"/>
      <c r="AS22" s="45"/>
    </row>
    <row r="23">
      <c r="A23" s="7" t="s">
        <v>48</v>
      </c>
      <c r="B23" s="46">
        <v>450000.0</v>
      </c>
      <c r="C23" s="7"/>
      <c r="D23" s="47">
        <v>1.0</v>
      </c>
      <c r="E23" s="7"/>
      <c r="F23" s="7"/>
      <c r="G23" s="47">
        <v>1.0</v>
      </c>
      <c r="H23" s="7"/>
      <c r="I23" s="7"/>
      <c r="J23" s="7"/>
      <c r="K23" s="47">
        <v>3.0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8">
        <f t="shared" si="7"/>
        <v>0</v>
      </c>
      <c r="W23" s="48">
        <f t="shared" si="8"/>
        <v>4</v>
      </c>
      <c r="X23" s="48">
        <f t="shared" si="9"/>
        <v>4</v>
      </c>
      <c r="Y23" s="49">
        <f t="shared" si="10"/>
        <v>1800000</v>
      </c>
      <c r="Z23" s="12"/>
      <c r="AA23" s="12"/>
      <c r="AB23" s="12"/>
      <c r="AC23" s="14"/>
      <c r="AD23" s="38"/>
      <c r="AE23" s="8"/>
      <c r="AF23" s="7"/>
      <c r="AG23" s="52"/>
      <c r="AH23" s="52"/>
      <c r="AI23" s="39"/>
      <c r="AJ23" s="38"/>
      <c r="AK23" s="7"/>
      <c r="AL23" s="39"/>
      <c r="AM23" s="6"/>
      <c r="AN23" s="6"/>
      <c r="AO23" s="69"/>
      <c r="AP23" s="14"/>
      <c r="AQ23" s="6"/>
      <c r="AR23" s="44"/>
      <c r="AS23" s="45"/>
    </row>
    <row r="24">
      <c r="A24" s="7" t="s">
        <v>50</v>
      </c>
      <c r="B24" s="46">
        <v>575000.0</v>
      </c>
      <c r="C24" s="7"/>
      <c r="D24" s="47">
        <v>1.0</v>
      </c>
      <c r="E24" s="7"/>
      <c r="F24" s="7"/>
      <c r="G24" s="47">
        <v>6.0</v>
      </c>
      <c r="H24" s="7"/>
      <c r="I24" s="7"/>
      <c r="J24" s="7"/>
      <c r="K24" s="7"/>
      <c r="L24" s="7"/>
      <c r="M24" s="47">
        <v>1.0</v>
      </c>
      <c r="N24" s="7"/>
      <c r="O24" s="7"/>
      <c r="P24" s="7"/>
      <c r="Q24" s="7"/>
      <c r="R24" s="7"/>
      <c r="S24" s="7"/>
      <c r="T24" s="7"/>
      <c r="U24" s="7"/>
      <c r="V24" s="48">
        <f t="shared" si="7"/>
        <v>0</v>
      </c>
      <c r="W24" s="48">
        <f t="shared" si="8"/>
        <v>7</v>
      </c>
      <c r="X24" s="48">
        <f t="shared" si="9"/>
        <v>7</v>
      </c>
      <c r="Y24" s="49">
        <f t="shared" si="10"/>
        <v>4025000</v>
      </c>
      <c r="Z24" s="12"/>
      <c r="AA24" s="12"/>
      <c r="AB24" s="12"/>
      <c r="AC24" s="6"/>
      <c r="AD24" s="38"/>
      <c r="AE24" s="8"/>
      <c r="AF24" s="7"/>
      <c r="AG24" s="52"/>
      <c r="AH24" s="52"/>
      <c r="AI24" s="39"/>
      <c r="AJ24" s="38"/>
      <c r="AK24" s="7"/>
      <c r="AL24" s="39"/>
      <c r="AM24" s="6"/>
      <c r="AN24" s="6"/>
      <c r="AO24" s="69"/>
      <c r="AP24" s="14"/>
      <c r="AQ24" s="14"/>
      <c r="AR24" s="44"/>
      <c r="AS24" s="45"/>
    </row>
    <row r="25">
      <c r="A25" s="7" t="s">
        <v>53</v>
      </c>
      <c r="B25" s="53">
        <v>262000.0</v>
      </c>
      <c r="C25" s="7"/>
      <c r="D25" s="47">
        <v>1.0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47">
        <v>1.0</v>
      </c>
      <c r="R25" s="7"/>
      <c r="S25" s="47">
        <v>1.0</v>
      </c>
      <c r="T25" s="7"/>
      <c r="U25" s="7"/>
      <c r="V25" s="54"/>
      <c r="W25" s="48">
        <f t="shared" si="8"/>
        <v>2</v>
      </c>
      <c r="X25" s="54"/>
      <c r="Y25" s="55"/>
      <c r="Z25" s="12"/>
      <c r="AA25" s="12"/>
      <c r="AB25" s="12"/>
      <c r="AC25" s="6"/>
      <c r="AD25" s="38"/>
      <c r="AE25" s="8"/>
      <c r="AF25" s="7"/>
      <c r="AG25" s="52"/>
      <c r="AH25" s="52"/>
      <c r="AI25" s="39"/>
      <c r="AJ25" s="38"/>
      <c r="AK25" s="7"/>
      <c r="AL25" s="39"/>
      <c r="AM25" s="6"/>
      <c r="AN25" s="6"/>
      <c r="AO25" s="14"/>
      <c r="AP25" s="14"/>
      <c r="AQ25" s="6"/>
      <c r="AR25" s="44"/>
      <c r="AS25" s="45"/>
    </row>
    <row r="26">
      <c r="A26" s="7" t="s">
        <v>55</v>
      </c>
      <c r="B26" s="53">
        <v>185000.0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47">
        <v>1.0</v>
      </c>
      <c r="T26" s="7"/>
      <c r="U26" s="7"/>
      <c r="V26" s="54"/>
      <c r="W26" s="48">
        <f t="shared" si="8"/>
        <v>1</v>
      </c>
      <c r="X26" s="54"/>
      <c r="Y26" s="55"/>
      <c r="Z26" s="12"/>
      <c r="AA26" s="12"/>
      <c r="AB26" s="12"/>
      <c r="AC26" s="6"/>
      <c r="AD26" s="38"/>
      <c r="AE26" s="8"/>
      <c r="AF26" s="7"/>
      <c r="AG26" s="52"/>
      <c r="AH26" s="52"/>
      <c r="AI26" s="39"/>
      <c r="AJ26" s="7"/>
      <c r="AK26" s="7"/>
      <c r="AL26" s="39"/>
      <c r="AM26" s="6"/>
      <c r="AN26" s="6"/>
      <c r="AO26" s="69"/>
      <c r="AP26" s="14"/>
      <c r="AQ26" s="6"/>
      <c r="AR26" s="44"/>
      <c r="AS26" s="3"/>
    </row>
    <row r="27">
      <c r="A27" s="7" t="s">
        <v>57</v>
      </c>
      <c r="B27" s="53">
        <v>242000.0</v>
      </c>
      <c r="C27" s="7"/>
      <c r="D27" s="47">
        <v>1.0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47">
        <v>1.0</v>
      </c>
      <c r="R27" s="7"/>
      <c r="S27" s="47">
        <v>1.0</v>
      </c>
      <c r="T27" s="7"/>
      <c r="U27" s="7"/>
      <c r="V27" s="54"/>
      <c r="W27" s="48">
        <f t="shared" si="8"/>
        <v>2</v>
      </c>
      <c r="X27" s="54"/>
      <c r="Y27" s="55"/>
      <c r="Z27" s="12"/>
      <c r="AA27" s="12"/>
      <c r="AB27" s="12"/>
      <c r="AC27" s="6"/>
      <c r="AD27" s="38"/>
      <c r="AE27" s="8"/>
      <c r="AF27" s="7"/>
      <c r="AG27" s="52"/>
      <c r="AH27" s="52"/>
      <c r="AI27" s="39"/>
      <c r="AJ27" s="7"/>
      <c r="AK27" s="7"/>
      <c r="AL27" s="39"/>
      <c r="AM27" s="6"/>
      <c r="AN27" s="3"/>
      <c r="AO27" s="2"/>
      <c r="AP27" s="3"/>
      <c r="AQ27" s="3"/>
      <c r="AR27" s="44"/>
      <c r="AS27" s="18"/>
    </row>
    <row r="28">
      <c r="A28" s="7" t="s">
        <v>60</v>
      </c>
      <c r="B28" s="53">
        <v>202000.0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47">
        <v>1.0</v>
      </c>
      <c r="R28" s="7"/>
      <c r="S28" s="47">
        <v>1.0</v>
      </c>
      <c r="T28" s="7"/>
      <c r="U28" s="7"/>
      <c r="V28" s="54"/>
      <c r="W28" s="48">
        <f t="shared" si="8"/>
        <v>2</v>
      </c>
      <c r="X28" s="54"/>
      <c r="Y28" s="55"/>
      <c r="Z28" s="12"/>
      <c r="AA28" s="12"/>
      <c r="AB28" s="12"/>
      <c r="AC28" s="6"/>
      <c r="AD28" s="38"/>
      <c r="AE28" s="8"/>
      <c r="AF28" s="7"/>
      <c r="AG28" s="52"/>
      <c r="AH28" s="52"/>
      <c r="AI28" s="39"/>
      <c r="AJ28" s="7"/>
      <c r="AK28" s="7"/>
      <c r="AL28" s="39"/>
      <c r="AM28" s="6"/>
      <c r="AN28" s="45"/>
      <c r="AO28" s="2"/>
      <c r="AP28" s="3"/>
      <c r="AQ28" s="3"/>
      <c r="AR28" s="44"/>
      <c r="AS28" s="3"/>
    </row>
    <row r="29">
      <c r="A29" s="7" t="s">
        <v>61</v>
      </c>
      <c r="B29" s="53">
        <v>175000.0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47">
        <v>1.0</v>
      </c>
      <c r="R29" s="7"/>
      <c r="S29" s="47">
        <v>1.0</v>
      </c>
      <c r="T29" s="7"/>
      <c r="U29" s="7"/>
      <c r="V29" s="54"/>
      <c r="W29" s="48">
        <f t="shared" si="8"/>
        <v>2</v>
      </c>
      <c r="X29" s="54"/>
      <c r="Y29" s="55"/>
      <c r="Z29" s="12"/>
      <c r="AA29" s="12"/>
      <c r="AB29" s="12"/>
      <c r="AC29" s="6"/>
      <c r="AD29" s="7"/>
      <c r="AE29" s="8"/>
      <c r="AF29" s="7"/>
      <c r="AG29" s="52"/>
      <c r="AH29" s="52"/>
      <c r="AI29" s="39"/>
      <c r="AJ29" s="7"/>
      <c r="AK29" s="7"/>
      <c r="AL29" s="39"/>
      <c r="AM29" s="6"/>
      <c r="AN29" s="3"/>
      <c r="AO29" s="2"/>
      <c r="AP29" s="3"/>
      <c r="AQ29" s="3"/>
      <c r="AR29" s="44"/>
      <c r="AS29" s="3"/>
    </row>
    <row r="30">
      <c r="A30" s="7" t="s">
        <v>62</v>
      </c>
      <c r="B30" s="53">
        <v>233000.0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54"/>
      <c r="W30" s="48">
        <f t="shared" si="8"/>
        <v>0</v>
      </c>
      <c r="X30" s="54"/>
      <c r="Y30" s="55"/>
      <c r="Z30" s="12"/>
      <c r="AA30" s="12"/>
      <c r="AB30" s="12"/>
      <c r="AC30" s="6"/>
      <c r="AD30" s="7"/>
      <c r="AE30" s="8"/>
      <c r="AF30" s="7"/>
      <c r="AG30" s="52"/>
      <c r="AH30" s="52"/>
      <c r="AI30" s="39"/>
      <c r="AJ30" s="7"/>
      <c r="AK30" s="7"/>
      <c r="AL30" s="39"/>
      <c r="AM30" s="6"/>
      <c r="AN30" s="3"/>
      <c r="AO30" s="2"/>
      <c r="AP30" s="3"/>
      <c r="AQ30" s="3"/>
      <c r="AR30" s="44"/>
      <c r="AS30" s="3"/>
    </row>
    <row r="31">
      <c r="A31" s="7" t="s">
        <v>63</v>
      </c>
      <c r="B31" s="8"/>
      <c r="C31" s="7"/>
      <c r="D31" s="47">
        <f t="shared" ref="D31:W31" si="11">SUM(D21:D30)</f>
        <v>5</v>
      </c>
      <c r="E31" s="47">
        <f t="shared" si="11"/>
        <v>0</v>
      </c>
      <c r="F31" s="47">
        <f t="shared" si="11"/>
        <v>0</v>
      </c>
      <c r="G31" s="47">
        <f t="shared" si="11"/>
        <v>39</v>
      </c>
      <c r="H31" s="47">
        <f t="shared" si="11"/>
        <v>0</v>
      </c>
      <c r="I31" s="47">
        <f t="shared" si="11"/>
        <v>11</v>
      </c>
      <c r="J31" s="47">
        <f t="shared" si="11"/>
        <v>0</v>
      </c>
      <c r="K31" s="47">
        <f t="shared" si="11"/>
        <v>29</v>
      </c>
      <c r="L31" s="47">
        <f t="shared" si="11"/>
        <v>2</v>
      </c>
      <c r="M31" s="47">
        <f t="shared" si="11"/>
        <v>16</v>
      </c>
      <c r="N31" s="47">
        <f t="shared" si="11"/>
        <v>0</v>
      </c>
      <c r="O31" s="47">
        <f t="shared" si="11"/>
        <v>4</v>
      </c>
      <c r="P31" s="47">
        <f t="shared" si="11"/>
        <v>1</v>
      </c>
      <c r="Q31" s="47">
        <f t="shared" si="11"/>
        <v>8</v>
      </c>
      <c r="R31" s="47">
        <f t="shared" si="11"/>
        <v>0</v>
      </c>
      <c r="S31" s="47">
        <f t="shared" si="11"/>
        <v>5</v>
      </c>
      <c r="T31" s="47">
        <f t="shared" si="11"/>
        <v>0</v>
      </c>
      <c r="U31" s="47">
        <f t="shared" si="11"/>
        <v>0</v>
      </c>
      <c r="V31" s="48">
        <f t="shared" si="11"/>
        <v>2</v>
      </c>
      <c r="W31" s="48">
        <f t="shared" si="11"/>
        <v>112</v>
      </c>
      <c r="X31" s="48">
        <f>V31+W31</f>
        <v>114</v>
      </c>
      <c r="Y31" s="49">
        <f>SUM(Y21:Y30)</f>
        <v>39175000</v>
      </c>
      <c r="Z31" s="12"/>
      <c r="AA31" s="12"/>
      <c r="AB31" s="12"/>
      <c r="AC31" s="6"/>
      <c r="AD31" s="7"/>
      <c r="AE31" s="8"/>
      <c r="AF31" s="7"/>
      <c r="AG31" s="52"/>
      <c r="AH31" s="52"/>
      <c r="AI31" s="39">
        <f t="shared" ref="AI31:AI33" si="13">AG31*AH31</f>
        <v>0</v>
      </c>
      <c r="AJ31" s="7"/>
      <c r="AK31" s="7"/>
      <c r="AL31" s="39">
        <f t="shared" ref="AL31:AL33" si="14">AI31-AK31</f>
        <v>0</v>
      </c>
      <c r="AM31" s="6"/>
      <c r="AN31" s="3"/>
      <c r="AO31" s="2"/>
      <c r="AP31" s="3"/>
      <c r="AQ31" s="3"/>
      <c r="AR31" s="44"/>
      <c r="AS31" s="3"/>
    </row>
    <row r="32">
      <c r="A32" s="7" t="s">
        <v>64</v>
      </c>
      <c r="B32" s="8"/>
      <c r="C32" s="7"/>
      <c r="D32" s="7"/>
      <c r="E32" s="7"/>
      <c r="F32" s="7"/>
      <c r="G32" s="47">
        <f>G31-H31</f>
        <v>39</v>
      </c>
      <c r="H32" s="7"/>
      <c r="I32" s="47">
        <f>I31-J31</f>
        <v>11</v>
      </c>
      <c r="J32" s="7"/>
      <c r="K32" s="47">
        <f>K31-L31</f>
        <v>27</v>
      </c>
      <c r="L32" s="7"/>
      <c r="M32" s="47">
        <f>M31-N31</f>
        <v>16</v>
      </c>
      <c r="N32" s="7"/>
      <c r="O32" s="47">
        <f>O31-P31</f>
        <v>3</v>
      </c>
      <c r="P32" s="7"/>
      <c r="Q32" s="47">
        <f>Q31-R31</f>
        <v>8</v>
      </c>
      <c r="R32" s="7"/>
      <c r="S32" s="47">
        <f>S31-T31</f>
        <v>5</v>
      </c>
      <c r="T32" s="7"/>
      <c r="U32" s="7"/>
      <c r="V32" s="54"/>
      <c r="W32" s="54"/>
      <c r="X32" s="48">
        <f t="shared" ref="X32:Y32" si="12">sum(X21:X31)</f>
        <v>219</v>
      </c>
      <c r="Y32" s="49">
        <f t="shared" si="12"/>
        <v>78350000</v>
      </c>
      <c r="Z32" s="4"/>
      <c r="AA32" s="4"/>
      <c r="AB32" s="4"/>
      <c r="AC32" s="3"/>
      <c r="AD32" s="7"/>
      <c r="AE32" s="8"/>
      <c r="AF32" s="7"/>
      <c r="AG32" s="52"/>
      <c r="AH32" s="52"/>
      <c r="AI32" s="39">
        <f t="shared" si="13"/>
        <v>0</v>
      </c>
      <c r="AJ32" s="7"/>
      <c r="AK32" s="7"/>
      <c r="AL32" s="39">
        <f t="shared" si="14"/>
        <v>0</v>
      </c>
      <c r="AM32" s="6"/>
      <c r="AN32" s="3"/>
      <c r="AO32" s="2"/>
      <c r="AP32" s="3"/>
      <c r="AQ32" s="3"/>
      <c r="AR32" s="44"/>
      <c r="AS32" s="3"/>
    </row>
    <row r="33">
      <c r="A33" s="6"/>
      <c r="B33" s="14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12"/>
      <c r="AA33" s="12"/>
      <c r="AB33" s="12"/>
      <c r="AC33" s="6"/>
      <c r="AD33" s="7"/>
      <c r="AE33" s="8"/>
      <c r="AF33" s="7"/>
      <c r="AG33" s="52"/>
      <c r="AH33" s="52"/>
      <c r="AI33" s="39">
        <f t="shared" si="13"/>
        <v>0</v>
      </c>
      <c r="AJ33" s="7"/>
      <c r="AK33" s="7"/>
      <c r="AL33" s="39">
        <f t="shared" si="14"/>
        <v>0</v>
      </c>
      <c r="AM33" s="6"/>
      <c r="AN33" s="3"/>
      <c r="AO33" s="2"/>
      <c r="AP33" s="3"/>
      <c r="AQ33" s="3"/>
      <c r="AR33" s="44"/>
      <c r="AS33" s="3"/>
    </row>
    <row r="34">
      <c r="A34" s="7"/>
      <c r="B34" s="8"/>
      <c r="C34" s="7"/>
      <c r="D34" s="9">
        <v>45994.0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  <c r="X34" s="6"/>
      <c r="Y34" s="6"/>
      <c r="Z34" s="12"/>
      <c r="AA34" s="12"/>
      <c r="AB34" s="12"/>
      <c r="AC34" s="6"/>
      <c r="AD34" s="57" t="s">
        <v>63</v>
      </c>
      <c r="AE34" s="75"/>
      <c r="AF34" s="57"/>
      <c r="AG34" s="76">
        <f>sum(AG4:AG33)</f>
        <v>620</v>
      </c>
      <c r="AH34" s="57"/>
      <c r="AI34" s="77">
        <f t="shared" ref="AI34:AL34" si="15">sum(AI4:AI33)</f>
        <v>105400000</v>
      </c>
      <c r="AJ34" s="78">
        <f t="shared" si="15"/>
        <v>45995</v>
      </c>
      <c r="AK34" s="77">
        <f t="shared" si="15"/>
        <v>105400000</v>
      </c>
      <c r="AL34" s="77">
        <f t="shared" si="15"/>
        <v>0</v>
      </c>
      <c r="AM34" s="6"/>
      <c r="AN34" s="3"/>
      <c r="AO34" s="2"/>
      <c r="AP34" s="3"/>
      <c r="AQ34" s="3"/>
      <c r="AR34" s="3"/>
      <c r="AS34" s="3"/>
    </row>
    <row r="35">
      <c r="A35" s="70" t="s">
        <v>6</v>
      </c>
      <c r="B35" s="34" t="b">
        <v>0</v>
      </c>
      <c r="C35" s="7"/>
      <c r="D35" s="71" t="s">
        <v>7</v>
      </c>
      <c r="E35" s="11"/>
      <c r="F35" s="7"/>
      <c r="G35" s="71" t="s">
        <v>8</v>
      </c>
      <c r="H35" s="11"/>
      <c r="I35" s="71" t="s">
        <v>9</v>
      </c>
      <c r="J35" s="11"/>
      <c r="K35" s="72" t="s">
        <v>10</v>
      </c>
      <c r="L35" s="11"/>
      <c r="M35" s="71" t="s">
        <v>11</v>
      </c>
      <c r="N35" s="11"/>
      <c r="O35" s="71" t="s">
        <v>12</v>
      </c>
      <c r="P35" s="11"/>
      <c r="Q35" s="71" t="s">
        <v>13</v>
      </c>
      <c r="R35" s="11"/>
      <c r="S35" s="71" t="s">
        <v>14</v>
      </c>
      <c r="T35" s="11"/>
      <c r="U35" s="35" t="s">
        <v>15</v>
      </c>
      <c r="V35" s="73" t="s">
        <v>16</v>
      </c>
      <c r="W35" s="10"/>
      <c r="X35" s="10"/>
      <c r="Y35" s="11"/>
      <c r="Z35" s="12"/>
      <c r="AA35" s="12"/>
      <c r="AB35" s="12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14"/>
      <c r="AO35" s="6"/>
      <c r="AP35" s="42"/>
      <c r="AQ35" s="14"/>
      <c r="AR35" s="14"/>
      <c r="AS35" s="6"/>
    </row>
    <row r="36">
      <c r="A36" s="7"/>
      <c r="B36" s="34" t="s">
        <v>28</v>
      </c>
      <c r="C36" s="35" t="s">
        <v>29</v>
      </c>
      <c r="D36" s="35" t="s">
        <v>30</v>
      </c>
      <c r="E36" s="35" t="s">
        <v>31</v>
      </c>
      <c r="F36" s="35" t="s">
        <v>32</v>
      </c>
      <c r="G36" s="35" t="s">
        <v>33</v>
      </c>
      <c r="H36" s="35" t="s">
        <v>31</v>
      </c>
      <c r="I36" s="35" t="s">
        <v>33</v>
      </c>
      <c r="J36" s="35" t="s">
        <v>31</v>
      </c>
      <c r="K36" s="35" t="s">
        <v>33</v>
      </c>
      <c r="L36" s="35" t="s">
        <v>31</v>
      </c>
      <c r="M36" s="35" t="s">
        <v>33</v>
      </c>
      <c r="N36" s="35" t="s">
        <v>31</v>
      </c>
      <c r="O36" s="35" t="s">
        <v>33</v>
      </c>
      <c r="P36" s="35" t="s">
        <v>31</v>
      </c>
      <c r="Q36" s="35" t="s">
        <v>33</v>
      </c>
      <c r="R36" s="35" t="s">
        <v>31</v>
      </c>
      <c r="S36" s="35" t="s">
        <v>33</v>
      </c>
      <c r="T36" s="35" t="s">
        <v>31</v>
      </c>
      <c r="U36" s="35" t="s">
        <v>34</v>
      </c>
      <c r="V36" s="36" t="s">
        <v>7</v>
      </c>
      <c r="W36" s="36" t="s">
        <v>35</v>
      </c>
      <c r="X36" s="36" t="s">
        <v>36</v>
      </c>
      <c r="Y36" s="36" t="s">
        <v>37</v>
      </c>
      <c r="Z36" s="12"/>
      <c r="AA36" s="12"/>
      <c r="AB36" s="12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14"/>
      <c r="AO36" s="6" t="s">
        <v>65</v>
      </c>
      <c r="AP36" s="42"/>
      <c r="AQ36" s="14"/>
      <c r="AR36" s="14"/>
      <c r="AS36" s="6"/>
    </row>
    <row r="37">
      <c r="A37" s="7" t="s">
        <v>42</v>
      </c>
      <c r="B37" s="46">
        <v>335000.0</v>
      </c>
      <c r="C37" s="7"/>
      <c r="D37" s="47">
        <v>1.0</v>
      </c>
      <c r="E37" s="7"/>
      <c r="F37" s="7"/>
      <c r="G37" s="47">
        <v>14.0</v>
      </c>
      <c r="H37" s="7"/>
      <c r="I37" s="47">
        <v>8.0</v>
      </c>
      <c r="J37" s="7"/>
      <c r="K37" s="47">
        <v>24.0</v>
      </c>
      <c r="L37" s="7"/>
      <c r="M37" s="47">
        <v>12.0</v>
      </c>
      <c r="N37" s="7"/>
      <c r="O37" s="7"/>
      <c r="P37" s="7"/>
      <c r="Q37" s="47">
        <v>1.0</v>
      </c>
      <c r="R37" s="7"/>
      <c r="S37" s="7"/>
      <c r="T37" s="7"/>
      <c r="U37" s="7"/>
      <c r="V37" s="48">
        <f t="shared" ref="V37:V40" si="16">F37+H37+J37+L37</f>
        <v>0</v>
      </c>
      <c r="W37" s="48">
        <f t="shared" ref="W37:W46" si="17">G37+I37+K37+M37+O37+Q37+S37</f>
        <v>59</v>
      </c>
      <c r="X37" s="48">
        <f t="shared" ref="X37:X40" si="18">V37+W37</f>
        <v>59</v>
      </c>
      <c r="Y37" s="49">
        <f t="shared" ref="Y37:Y40" si="19">B37*X37</f>
        <v>19765000</v>
      </c>
      <c r="Z37" s="12"/>
      <c r="AA37" s="12"/>
      <c r="AB37" s="12"/>
      <c r="AC37" s="6"/>
      <c r="AD37" s="5" t="s">
        <v>66</v>
      </c>
      <c r="AE37" s="79" t="s">
        <v>65</v>
      </c>
      <c r="AF37" s="3"/>
      <c r="AG37" s="3"/>
      <c r="AH37" s="3"/>
      <c r="AI37" s="2"/>
      <c r="AJ37" s="2"/>
      <c r="AK37" s="2"/>
      <c r="AL37" s="2"/>
      <c r="AM37" s="2"/>
      <c r="AN37" s="80" t="s">
        <v>67</v>
      </c>
      <c r="AO37" s="11"/>
      <c r="AP37" s="33"/>
      <c r="AQ37" s="14"/>
      <c r="AR37" s="14"/>
      <c r="AS37" s="6"/>
    </row>
    <row r="38">
      <c r="A38" s="7" t="s">
        <v>45</v>
      </c>
      <c r="B38" s="13">
        <v>395000.0</v>
      </c>
      <c r="C38" s="6"/>
      <c r="D38" s="7"/>
      <c r="E38" s="7"/>
      <c r="F38" s="7"/>
      <c r="G38" s="47">
        <v>18.0</v>
      </c>
      <c r="H38" s="7"/>
      <c r="I38" s="47">
        <v>3.0</v>
      </c>
      <c r="J38" s="7"/>
      <c r="K38" s="7"/>
      <c r="L38" s="7"/>
      <c r="M38" s="47">
        <v>3.0</v>
      </c>
      <c r="N38" s="7"/>
      <c r="O38" s="47">
        <v>3.0</v>
      </c>
      <c r="P38" s="7"/>
      <c r="Q38" s="47">
        <v>3.0</v>
      </c>
      <c r="R38" s="7"/>
      <c r="S38" s="7"/>
      <c r="T38" s="7"/>
      <c r="U38" s="7"/>
      <c r="V38" s="48">
        <f t="shared" si="16"/>
        <v>0</v>
      </c>
      <c r="W38" s="48">
        <f t="shared" si="17"/>
        <v>30</v>
      </c>
      <c r="X38" s="48">
        <f t="shared" si="18"/>
        <v>30</v>
      </c>
      <c r="Y38" s="49">
        <f t="shared" si="19"/>
        <v>11850000</v>
      </c>
      <c r="Z38" s="12"/>
      <c r="AA38" s="12"/>
      <c r="AB38" s="12"/>
      <c r="AC38" s="6"/>
      <c r="AD38" s="27" t="s">
        <v>68</v>
      </c>
      <c r="AE38" s="28" t="s">
        <v>69</v>
      </c>
      <c r="AF38" s="27" t="s">
        <v>70</v>
      </c>
      <c r="AG38" s="27" t="s">
        <v>71</v>
      </c>
      <c r="AH38" s="27" t="s">
        <v>21</v>
      </c>
      <c r="AI38" s="28" t="s">
        <v>22</v>
      </c>
      <c r="AJ38" s="28" t="s">
        <v>72</v>
      </c>
      <c r="AK38" s="28" t="s">
        <v>23</v>
      </c>
      <c r="AL38" s="28" t="s">
        <v>73</v>
      </c>
      <c r="AM38" s="28" t="s">
        <v>74</v>
      </c>
      <c r="AN38" s="28" t="s">
        <v>75</v>
      </c>
      <c r="AO38" s="28" t="s">
        <v>76</v>
      </c>
      <c r="AP38" s="28" t="s">
        <v>77</v>
      </c>
      <c r="AQ38" s="28" t="s">
        <v>78</v>
      </c>
      <c r="AR38" s="28" t="s">
        <v>16</v>
      </c>
      <c r="AS38" s="6"/>
    </row>
    <row r="39">
      <c r="A39" s="7" t="s">
        <v>48</v>
      </c>
      <c r="B39" s="46">
        <v>450000.0</v>
      </c>
      <c r="C39" s="7"/>
      <c r="D39" s="47">
        <v>1.0</v>
      </c>
      <c r="E39" s="7"/>
      <c r="F39" s="7"/>
      <c r="G39" s="47">
        <v>1.0</v>
      </c>
      <c r="H39" s="7"/>
      <c r="I39" s="7"/>
      <c r="J39" s="7"/>
      <c r="K39" s="47">
        <v>3.0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48">
        <f t="shared" si="16"/>
        <v>0</v>
      </c>
      <c r="W39" s="48">
        <f t="shared" si="17"/>
        <v>4</v>
      </c>
      <c r="X39" s="48">
        <f t="shared" si="18"/>
        <v>4</v>
      </c>
      <c r="Y39" s="49">
        <f t="shared" si="19"/>
        <v>1800000</v>
      </c>
      <c r="Z39" s="12"/>
      <c r="AA39" s="12"/>
      <c r="AB39" s="12"/>
      <c r="AC39" s="37" t="b">
        <v>1</v>
      </c>
      <c r="AD39" s="38">
        <v>45995.0</v>
      </c>
      <c r="AE39" s="34" t="s">
        <v>79</v>
      </c>
      <c r="AF39" s="35" t="s">
        <v>80</v>
      </c>
      <c r="AG39" s="35" t="s">
        <v>40</v>
      </c>
      <c r="AH39" s="47">
        <v>100.0</v>
      </c>
      <c r="AI39" s="46">
        <v>170000.0</v>
      </c>
      <c r="AJ39" s="46">
        <v>210000.0</v>
      </c>
      <c r="AK39" s="34">
        <f>AI39*AH39</f>
        <v>17000000</v>
      </c>
      <c r="AL39" s="34">
        <f>AH39*AJ39</f>
        <v>21000000</v>
      </c>
      <c r="AM39" s="34">
        <f>AL39-AK39</f>
        <v>4000000</v>
      </c>
      <c r="AN39" s="46">
        <v>500000.0</v>
      </c>
      <c r="AO39" s="47">
        <v>500000.0</v>
      </c>
      <c r="AP39" s="38">
        <v>46011.0</v>
      </c>
      <c r="AQ39" s="81">
        <v>2.1E7</v>
      </c>
      <c r="AR39" s="81">
        <f>AL39-AQ39</f>
        <v>0</v>
      </c>
      <c r="AS39" s="6"/>
    </row>
    <row r="40">
      <c r="A40" s="7" t="s">
        <v>50</v>
      </c>
      <c r="B40" s="46">
        <v>575000.0</v>
      </c>
      <c r="C40" s="7"/>
      <c r="D40" s="47">
        <v>1.0</v>
      </c>
      <c r="E40" s="7"/>
      <c r="F40" s="7"/>
      <c r="G40" s="47">
        <v>6.0</v>
      </c>
      <c r="H40" s="7"/>
      <c r="I40" s="7"/>
      <c r="J40" s="7"/>
      <c r="K40" s="7"/>
      <c r="L40" s="7"/>
      <c r="M40" s="47">
        <v>1.0</v>
      </c>
      <c r="N40" s="7"/>
      <c r="O40" s="7"/>
      <c r="P40" s="7"/>
      <c r="Q40" s="7"/>
      <c r="R40" s="7"/>
      <c r="S40" s="7"/>
      <c r="T40" s="7"/>
      <c r="U40" s="7"/>
      <c r="V40" s="48">
        <f t="shared" si="16"/>
        <v>0</v>
      </c>
      <c r="W40" s="48">
        <f t="shared" si="17"/>
        <v>7</v>
      </c>
      <c r="X40" s="48">
        <f t="shared" si="18"/>
        <v>7</v>
      </c>
      <c r="Y40" s="49">
        <f t="shared" si="19"/>
        <v>4025000</v>
      </c>
      <c r="Z40" s="12"/>
      <c r="AA40" s="12"/>
      <c r="AB40" s="12"/>
      <c r="AC40" s="37" t="b">
        <v>1</v>
      </c>
      <c r="AD40" s="38"/>
      <c r="AE40" s="34"/>
      <c r="AF40" s="7"/>
      <c r="AG40" s="35"/>
      <c r="AH40" s="47"/>
      <c r="AI40" s="46"/>
      <c r="AJ40" s="46"/>
      <c r="AK40" s="34"/>
      <c r="AL40" s="34"/>
      <c r="AM40" s="34"/>
      <c r="AN40" s="46"/>
      <c r="AO40" s="47"/>
      <c r="AP40" s="38"/>
      <c r="AQ40" s="64"/>
      <c r="AR40" s="81"/>
      <c r="AS40" s="37" t="s">
        <v>81</v>
      </c>
    </row>
    <row r="41">
      <c r="A41" s="7" t="s">
        <v>53</v>
      </c>
      <c r="B41" s="53">
        <v>262000.0</v>
      </c>
      <c r="C41" s="7"/>
      <c r="D41" s="47">
        <v>1.0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47">
        <v>1.0</v>
      </c>
      <c r="R41" s="7"/>
      <c r="S41" s="47">
        <v>1.0</v>
      </c>
      <c r="T41" s="7"/>
      <c r="U41" s="7"/>
      <c r="V41" s="54"/>
      <c r="W41" s="48">
        <f t="shared" si="17"/>
        <v>2</v>
      </c>
      <c r="X41" s="54"/>
      <c r="Y41" s="55"/>
      <c r="Z41" s="12"/>
      <c r="AA41" s="12"/>
      <c r="AB41" s="12"/>
      <c r="AC41" s="37" t="b">
        <v>1</v>
      </c>
      <c r="AD41" s="38"/>
      <c r="AE41" s="34"/>
      <c r="AF41" s="7"/>
      <c r="AG41" s="35"/>
      <c r="AH41" s="47"/>
      <c r="AI41" s="46"/>
      <c r="AJ41" s="46"/>
      <c r="AK41" s="34"/>
      <c r="AL41" s="34"/>
      <c r="AM41" s="34"/>
      <c r="AN41" s="46"/>
      <c r="AO41" s="47"/>
      <c r="AP41" s="38"/>
      <c r="AQ41" s="64"/>
      <c r="AR41" s="81"/>
      <c r="AS41" s="37" t="s">
        <v>82</v>
      </c>
    </row>
    <row r="42">
      <c r="A42" s="7" t="s">
        <v>55</v>
      </c>
      <c r="B42" s="53">
        <v>185000.0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7">
        <v>1.0</v>
      </c>
      <c r="T42" s="7"/>
      <c r="U42" s="7"/>
      <c r="V42" s="54"/>
      <c r="W42" s="48">
        <f t="shared" si="17"/>
        <v>1</v>
      </c>
      <c r="X42" s="54"/>
      <c r="Y42" s="55"/>
      <c r="Z42" s="12"/>
      <c r="AA42" s="12"/>
      <c r="AB42" s="12"/>
      <c r="AC42" s="37" t="b">
        <v>1</v>
      </c>
      <c r="AD42" s="38"/>
      <c r="AE42" s="34"/>
      <c r="AF42" s="7"/>
      <c r="AG42" s="35"/>
      <c r="AH42" s="47"/>
      <c r="AI42" s="46"/>
      <c r="AJ42" s="46"/>
      <c r="AK42" s="34"/>
      <c r="AL42" s="34"/>
      <c r="AM42" s="34"/>
      <c r="AN42" s="46"/>
      <c r="AO42" s="47"/>
      <c r="AP42" s="82"/>
      <c r="AQ42" s="83"/>
      <c r="AR42" s="81"/>
      <c r="AS42" s="6"/>
    </row>
    <row r="43">
      <c r="A43" s="7" t="s">
        <v>57</v>
      </c>
      <c r="B43" s="53">
        <v>242000.0</v>
      </c>
      <c r="C43" s="7"/>
      <c r="D43" s="47">
        <v>1.0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47">
        <v>1.0</v>
      </c>
      <c r="R43" s="7"/>
      <c r="S43" s="47">
        <v>1.0</v>
      </c>
      <c r="T43" s="7"/>
      <c r="U43" s="7"/>
      <c r="V43" s="54"/>
      <c r="W43" s="48">
        <f t="shared" si="17"/>
        <v>2</v>
      </c>
      <c r="X43" s="54"/>
      <c r="Y43" s="55"/>
      <c r="Z43" s="12"/>
      <c r="AA43" s="12"/>
      <c r="AB43" s="12"/>
      <c r="AC43" s="37" t="b">
        <v>1</v>
      </c>
      <c r="AD43" s="38"/>
      <c r="AE43" s="34"/>
      <c r="AF43" s="7"/>
      <c r="AG43" s="35"/>
      <c r="AH43" s="47"/>
      <c r="AI43" s="46"/>
      <c r="AJ43" s="46"/>
      <c r="AK43" s="34"/>
      <c r="AL43" s="34"/>
      <c r="AM43" s="34"/>
      <c r="AN43" s="46"/>
      <c r="AO43" s="7"/>
      <c r="AP43" s="38"/>
      <c r="AQ43" s="81"/>
      <c r="AR43" s="81"/>
      <c r="AS43" s="6"/>
    </row>
    <row r="44">
      <c r="A44" s="7" t="s">
        <v>60</v>
      </c>
      <c r="B44" s="53">
        <v>202000.0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47">
        <v>1.0</v>
      </c>
      <c r="R44" s="7"/>
      <c r="S44" s="47">
        <v>1.0</v>
      </c>
      <c r="T44" s="7"/>
      <c r="U44" s="7"/>
      <c r="V44" s="54"/>
      <c r="W44" s="48">
        <f t="shared" si="17"/>
        <v>2</v>
      </c>
      <c r="X44" s="54"/>
      <c r="Y44" s="55"/>
      <c r="Z44" s="12"/>
      <c r="AA44" s="12"/>
      <c r="AB44" s="12"/>
      <c r="AC44" s="37" t="b">
        <v>1</v>
      </c>
      <c r="AD44" s="38"/>
      <c r="AE44" s="34"/>
      <c r="AF44" s="7"/>
      <c r="AG44" s="35"/>
      <c r="AH44" s="47"/>
      <c r="AI44" s="46"/>
      <c r="AJ44" s="46"/>
      <c r="AK44" s="34"/>
      <c r="AL44" s="34"/>
      <c r="AM44" s="34"/>
      <c r="AN44" s="46"/>
      <c r="AO44" s="47"/>
      <c r="AP44" s="38"/>
      <c r="AQ44" s="64"/>
      <c r="AR44" s="81"/>
      <c r="AS44" s="6"/>
    </row>
    <row r="45">
      <c r="A45" s="7" t="s">
        <v>61</v>
      </c>
      <c r="B45" s="53">
        <v>175000.0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47">
        <v>1.0</v>
      </c>
      <c r="R45" s="7"/>
      <c r="S45" s="47">
        <v>1.0</v>
      </c>
      <c r="T45" s="7"/>
      <c r="U45" s="7"/>
      <c r="V45" s="54"/>
      <c r="W45" s="48">
        <f t="shared" si="17"/>
        <v>2</v>
      </c>
      <c r="X45" s="54"/>
      <c r="Y45" s="55"/>
      <c r="Z45" s="12"/>
      <c r="AA45" s="12"/>
      <c r="AB45" s="12"/>
      <c r="AC45" s="37" t="b">
        <v>1</v>
      </c>
      <c r="AD45" s="38"/>
      <c r="AE45" s="34"/>
      <c r="AF45" s="7"/>
      <c r="AG45" s="35"/>
      <c r="AH45" s="47"/>
      <c r="AI45" s="46"/>
      <c r="AJ45" s="46"/>
      <c r="AK45" s="34"/>
      <c r="AL45" s="34"/>
      <c r="AM45" s="34"/>
      <c r="AN45" s="46"/>
      <c r="AO45" s="47"/>
      <c r="AP45" s="38"/>
      <c r="AQ45" s="64"/>
      <c r="AR45" s="81"/>
      <c r="AS45" s="6"/>
    </row>
    <row r="46">
      <c r="A46" s="7" t="s">
        <v>62</v>
      </c>
      <c r="B46" s="53">
        <v>233000.0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54"/>
      <c r="W46" s="48">
        <f t="shared" si="17"/>
        <v>0</v>
      </c>
      <c r="X46" s="54"/>
      <c r="Y46" s="55"/>
      <c r="Z46" s="12"/>
      <c r="AA46" s="12"/>
      <c r="AB46" s="12"/>
      <c r="AC46" s="37" t="b">
        <v>1</v>
      </c>
      <c r="AD46" s="38"/>
      <c r="AE46" s="34"/>
      <c r="AF46" s="7"/>
      <c r="AG46" s="35"/>
      <c r="AH46" s="47"/>
      <c r="AI46" s="46"/>
      <c r="AJ46" s="46"/>
      <c r="AK46" s="34"/>
      <c r="AL46" s="34"/>
      <c r="AM46" s="34"/>
      <c r="AN46" s="46"/>
      <c r="AO46" s="47"/>
      <c r="AP46" s="38"/>
      <c r="AQ46" s="64"/>
      <c r="AR46" s="81"/>
      <c r="AS46" s="37" t="s">
        <v>83</v>
      </c>
    </row>
    <row r="47">
      <c r="A47" s="7" t="s">
        <v>63</v>
      </c>
      <c r="B47" s="8"/>
      <c r="C47" s="7"/>
      <c r="D47" s="47">
        <f t="shared" ref="D47:W47" si="20">SUM(D37:D46)</f>
        <v>5</v>
      </c>
      <c r="E47" s="47">
        <f t="shared" si="20"/>
        <v>0</v>
      </c>
      <c r="F47" s="47">
        <f t="shared" si="20"/>
        <v>0</v>
      </c>
      <c r="G47" s="47">
        <f t="shared" si="20"/>
        <v>39</v>
      </c>
      <c r="H47" s="47">
        <f t="shared" si="20"/>
        <v>0</v>
      </c>
      <c r="I47" s="47">
        <f t="shared" si="20"/>
        <v>11</v>
      </c>
      <c r="J47" s="47">
        <f t="shared" si="20"/>
        <v>0</v>
      </c>
      <c r="K47" s="47">
        <f t="shared" si="20"/>
        <v>27</v>
      </c>
      <c r="L47" s="47">
        <f t="shared" si="20"/>
        <v>0</v>
      </c>
      <c r="M47" s="47">
        <f t="shared" si="20"/>
        <v>16</v>
      </c>
      <c r="N47" s="47">
        <f t="shared" si="20"/>
        <v>0</v>
      </c>
      <c r="O47" s="47">
        <f t="shared" si="20"/>
        <v>3</v>
      </c>
      <c r="P47" s="47">
        <f t="shared" si="20"/>
        <v>0</v>
      </c>
      <c r="Q47" s="47">
        <f t="shared" si="20"/>
        <v>8</v>
      </c>
      <c r="R47" s="47">
        <f t="shared" si="20"/>
        <v>0</v>
      </c>
      <c r="S47" s="47">
        <f t="shared" si="20"/>
        <v>5</v>
      </c>
      <c r="T47" s="47">
        <f t="shared" si="20"/>
        <v>0</v>
      </c>
      <c r="U47" s="47">
        <f t="shared" si="20"/>
        <v>0</v>
      </c>
      <c r="V47" s="48">
        <f t="shared" si="20"/>
        <v>0</v>
      </c>
      <c r="W47" s="48">
        <f t="shared" si="20"/>
        <v>109</v>
      </c>
      <c r="X47" s="48">
        <f>V47+W47</f>
        <v>109</v>
      </c>
      <c r="Y47" s="49">
        <f>SUM(Y37:Y46)</f>
        <v>37440000</v>
      </c>
      <c r="Z47" s="4"/>
      <c r="AA47" s="4"/>
      <c r="AB47" s="4"/>
      <c r="AC47" s="37" t="b">
        <v>1</v>
      </c>
      <c r="AD47" s="38"/>
      <c r="AE47" s="34"/>
      <c r="AF47" s="7"/>
      <c r="AG47" s="35"/>
      <c r="AH47" s="47"/>
      <c r="AI47" s="46"/>
      <c r="AJ47" s="46"/>
      <c r="AK47" s="34"/>
      <c r="AL47" s="34"/>
      <c r="AM47" s="34"/>
      <c r="AN47" s="46"/>
      <c r="AO47" s="7"/>
      <c r="AP47" s="38"/>
      <c r="AQ47" s="64"/>
      <c r="AR47" s="81"/>
      <c r="AS47" s="3"/>
    </row>
    <row r="48">
      <c r="A48" s="7" t="s">
        <v>64</v>
      </c>
      <c r="B48" s="8"/>
      <c r="C48" s="7"/>
      <c r="D48" s="7"/>
      <c r="E48" s="7"/>
      <c r="F48" s="7"/>
      <c r="G48" s="47">
        <f>G47-H47</f>
        <v>39</v>
      </c>
      <c r="H48" s="7"/>
      <c r="I48" s="47">
        <f>I47-J47</f>
        <v>11</v>
      </c>
      <c r="J48" s="7"/>
      <c r="K48" s="47">
        <f>K47-L47</f>
        <v>27</v>
      </c>
      <c r="L48" s="7"/>
      <c r="M48" s="47">
        <f>M47-N47</f>
        <v>16</v>
      </c>
      <c r="N48" s="7"/>
      <c r="O48" s="47">
        <f>O47-P47</f>
        <v>3</v>
      </c>
      <c r="P48" s="7"/>
      <c r="Q48" s="47">
        <f>Q47-R47</f>
        <v>8</v>
      </c>
      <c r="R48" s="7"/>
      <c r="S48" s="47">
        <f>S47-T47</f>
        <v>5</v>
      </c>
      <c r="T48" s="7"/>
      <c r="U48" s="7"/>
      <c r="V48" s="54"/>
      <c r="W48" s="54"/>
      <c r="X48" s="48">
        <f t="shared" ref="X48:Y48" si="21">sum(X37:X47)</f>
        <v>209</v>
      </c>
      <c r="Y48" s="49">
        <f t="shared" si="21"/>
        <v>74880000</v>
      </c>
      <c r="Z48" s="12"/>
      <c r="AA48" s="12"/>
      <c r="AB48" s="12"/>
      <c r="AC48" s="37" t="b">
        <v>1</v>
      </c>
      <c r="AD48" s="38"/>
      <c r="AE48" s="34"/>
      <c r="AF48" s="7"/>
      <c r="AG48" s="35"/>
      <c r="AH48" s="47"/>
      <c r="AI48" s="46"/>
      <c r="AJ48" s="46"/>
      <c r="AK48" s="34"/>
      <c r="AL48" s="34"/>
      <c r="AM48" s="34"/>
      <c r="AN48" s="46"/>
      <c r="AO48" s="47"/>
      <c r="AP48" s="38"/>
      <c r="AQ48" s="64"/>
      <c r="AR48" s="81"/>
      <c r="AS48" s="6"/>
    </row>
    <row r="49">
      <c r="A49" s="6"/>
      <c r="B49" s="14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12"/>
      <c r="AA49" s="12"/>
      <c r="AB49" s="12"/>
      <c r="AC49" s="37" t="b">
        <v>1</v>
      </c>
      <c r="AD49" s="38"/>
      <c r="AE49" s="34"/>
      <c r="AF49" s="7"/>
      <c r="AG49" s="35"/>
      <c r="AH49" s="47"/>
      <c r="AI49" s="46"/>
      <c r="AJ49" s="46"/>
      <c r="AK49" s="34"/>
      <c r="AL49" s="34"/>
      <c r="AM49" s="34"/>
      <c r="AN49" s="46"/>
      <c r="AO49" s="7"/>
      <c r="AP49" s="38"/>
      <c r="AQ49" s="84"/>
      <c r="AR49" s="81"/>
      <c r="AS49" s="6"/>
    </row>
    <row r="50">
      <c r="A50" s="7"/>
      <c r="B50" s="8"/>
      <c r="C50" s="7"/>
      <c r="D50" s="9">
        <v>45995.0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  <c r="X50" s="6"/>
      <c r="Y50" s="6"/>
      <c r="Z50" s="12"/>
      <c r="AA50" s="12"/>
      <c r="AB50" s="12"/>
      <c r="AC50" s="37" t="b">
        <v>1</v>
      </c>
      <c r="AD50" s="38"/>
      <c r="AE50" s="34"/>
      <c r="AF50" s="7"/>
      <c r="AG50" s="35"/>
      <c r="AH50" s="47"/>
      <c r="AI50" s="46"/>
      <c r="AJ50" s="46"/>
      <c r="AK50" s="34"/>
      <c r="AL50" s="34"/>
      <c r="AM50" s="34"/>
      <c r="AN50" s="46"/>
      <c r="AO50" s="47"/>
      <c r="AP50" s="38"/>
      <c r="AQ50" s="64"/>
      <c r="AR50" s="81"/>
      <c r="AS50" s="6"/>
    </row>
    <row r="51">
      <c r="A51" s="70" t="s">
        <v>6</v>
      </c>
      <c r="B51" s="34" t="b">
        <v>0</v>
      </c>
      <c r="C51" s="7"/>
      <c r="D51" s="71" t="s">
        <v>7</v>
      </c>
      <c r="E51" s="11"/>
      <c r="F51" s="7"/>
      <c r="G51" s="71" t="s">
        <v>8</v>
      </c>
      <c r="H51" s="11"/>
      <c r="I51" s="71" t="s">
        <v>9</v>
      </c>
      <c r="J51" s="11"/>
      <c r="K51" s="72" t="s">
        <v>10</v>
      </c>
      <c r="L51" s="11"/>
      <c r="M51" s="71" t="s">
        <v>11</v>
      </c>
      <c r="N51" s="11"/>
      <c r="O51" s="71" t="s">
        <v>12</v>
      </c>
      <c r="P51" s="11"/>
      <c r="Q51" s="71" t="s">
        <v>13</v>
      </c>
      <c r="R51" s="11"/>
      <c r="S51" s="71" t="s">
        <v>14</v>
      </c>
      <c r="T51" s="11"/>
      <c r="U51" s="35" t="s">
        <v>15</v>
      </c>
      <c r="V51" s="73" t="s">
        <v>16</v>
      </c>
      <c r="W51" s="10"/>
      <c r="X51" s="10"/>
      <c r="Y51" s="11"/>
      <c r="Z51" s="12"/>
      <c r="AA51" s="12"/>
      <c r="AB51" s="12"/>
      <c r="AC51" s="37" t="b">
        <v>1</v>
      </c>
      <c r="AD51" s="38"/>
      <c r="AE51" s="34"/>
      <c r="AF51" s="7"/>
      <c r="AG51" s="35"/>
      <c r="AH51" s="35"/>
      <c r="AI51" s="34"/>
      <c r="AJ51" s="34"/>
      <c r="AK51" s="34"/>
      <c r="AL51" s="34"/>
      <c r="AM51" s="34"/>
      <c r="AN51" s="34"/>
      <c r="AO51" s="7"/>
      <c r="AP51" s="38"/>
      <c r="AQ51" s="84"/>
      <c r="AR51" s="81"/>
      <c r="AS51" s="6"/>
    </row>
    <row r="52">
      <c r="A52" s="7"/>
      <c r="B52" s="34" t="s">
        <v>28</v>
      </c>
      <c r="C52" s="35" t="s">
        <v>29</v>
      </c>
      <c r="D52" s="35" t="s">
        <v>30</v>
      </c>
      <c r="E52" s="35" t="s">
        <v>31</v>
      </c>
      <c r="F52" s="35" t="s">
        <v>32</v>
      </c>
      <c r="G52" s="35" t="s">
        <v>33</v>
      </c>
      <c r="H52" s="35" t="s">
        <v>31</v>
      </c>
      <c r="I52" s="35" t="s">
        <v>33</v>
      </c>
      <c r="J52" s="35" t="s">
        <v>31</v>
      </c>
      <c r="K52" s="35" t="s">
        <v>33</v>
      </c>
      <c r="L52" s="35" t="s">
        <v>31</v>
      </c>
      <c r="M52" s="35" t="s">
        <v>33</v>
      </c>
      <c r="N52" s="35" t="s">
        <v>31</v>
      </c>
      <c r="O52" s="35" t="s">
        <v>33</v>
      </c>
      <c r="P52" s="35" t="s">
        <v>31</v>
      </c>
      <c r="Q52" s="35" t="s">
        <v>33</v>
      </c>
      <c r="R52" s="35" t="s">
        <v>31</v>
      </c>
      <c r="S52" s="35" t="s">
        <v>33</v>
      </c>
      <c r="T52" s="35" t="s">
        <v>31</v>
      </c>
      <c r="U52" s="35" t="s">
        <v>34</v>
      </c>
      <c r="V52" s="36" t="s">
        <v>7</v>
      </c>
      <c r="W52" s="36" t="s">
        <v>35</v>
      </c>
      <c r="X52" s="36" t="s">
        <v>36</v>
      </c>
      <c r="Y52" s="36" t="s">
        <v>37</v>
      </c>
      <c r="Z52" s="12"/>
      <c r="AA52" s="12"/>
      <c r="AB52" s="12"/>
      <c r="AC52" s="37" t="b">
        <v>1</v>
      </c>
      <c r="AD52" s="38"/>
      <c r="AE52" s="34"/>
      <c r="AF52" s="7"/>
      <c r="AG52" s="35"/>
      <c r="AH52" s="35"/>
      <c r="AI52" s="34"/>
      <c r="AJ52" s="34"/>
      <c r="AK52" s="34"/>
      <c r="AL52" s="34"/>
      <c r="AM52" s="34"/>
      <c r="AN52" s="34"/>
      <c r="AO52" s="7"/>
      <c r="AP52" s="38"/>
      <c r="AQ52" s="81"/>
      <c r="AR52" s="81"/>
      <c r="AS52" s="6"/>
    </row>
    <row r="53">
      <c r="A53" s="7" t="s">
        <v>42</v>
      </c>
      <c r="B53" s="46">
        <v>335000.0</v>
      </c>
      <c r="C53" s="7"/>
      <c r="D53" s="47">
        <v>1.0</v>
      </c>
      <c r="E53" s="7"/>
      <c r="F53" s="7"/>
      <c r="G53" s="47">
        <v>14.0</v>
      </c>
      <c r="H53" s="7"/>
      <c r="I53" s="47">
        <v>8.0</v>
      </c>
      <c r="J53" s="7"/>
      <c r="K53" s="47">
        <v>24.0</v>
      </c>
      <c r="L53" s="47">
        <v>1.0</v>
      </c>
      <c r="M53" s="47">
        <v>12.0</v>
      </c>
      <c r="N53" s="47">
        <v>1.0</v>
      </c>
      <c r="O53" s="7"/>
      <c r="P53" s="7"/>
      <c r="Q53" s="47">
        <v>1.0</v>
      </c>
      <c r="R53" s="7"/>
      <c r="S53" s="7"/>
      <c r="T53" s="7"/>
      <c r="U53" s="7"/>
      <c r="V53" s="48">
        <f t="shared" ref="V53:V56" si="22">F53+H53+J53+L53</f>
        <v>1</v>
      </c>
      <c r="W53" s="48">
        <f t="shared" ref="W53:W62" si="23">G53+I53+K53+M53+O53+Q53+S53</f>
        <v>59</v>
      </c>
      <c r="X53" s="48">
        <f t="shared" ref="X53:X56" si="24">V53+W53</f>
        <v>60</v>
      </c>
      <c r="Y53" s="49">
        <f t="shared" ref="Y53:Y56" si="25">B53*X53</f>
        <v>20100000</v>
      </c>
      <c r="Z53" s="12"/>
      <c r="AA53" s="12"/>
      <c r="AB53" s="12"/>
      <c r="AC53" s="37" t="b">
        <v>1</v>
      </c>
      <c r="AD53" s="38"/>
      <c r="AE53" s="34"/>
      <c r="AF53" s="7"/>
      <c r="AG53" s="35"/>
      <c r="AH53" s="47"/>
      <c r="AI53" s="46"/>
      <c r="AJ53" s="46"/>
      <c r="AK53" s="34"/>
      <c r="AL53" s="34"/>
      <c r="AM53" s="34"/>
      <c r="AN53" s="46"/>
      <c r="AO53" s="47"/>
      <c r="AP53" s="38"/>
      <c r="AQ53" s="64"/>
      <c r="AR53" s="81"/>
      <c r="AS53" s="6"/>
    </row>
    <row r="54">
      <c r="A54" s="7" t="s">
        <v>45</v>
      </c>
      <c r="B54" s="13">
        <v>395000.0</v>
      </c>
      <c r="C54" s="6"/>
      <c r="D54" s="47">
        <v>620.0</v>
      </c>
      <c r="E54" s="7"/>
      <c r="F54" s="7"/>
      <c r="G54" s="47">
        <v>18.0</v>
      </c>
      <c r="H54" s="7"/>
      <c r="I54" s="47">
        <v>3.0</v>
      </c>
      <c r="J54" s="7"/>
      <c r="K54" s="7"/>
      <c r="L54" s="7"/>
      <c r="M54" s="47">
        <v>3.0</v>
      </c>
      <c r="N54" s="7"/>
      <c r="O54" s="47">
        <v>3.0</v>
      </c>
      <c r="P54" s="7"/>
      <c r="Q54" s="47">
        <v>3.0</v>
      </c>
      <c r="R54" s="7"/>
      <c r="S54" s="7"/>
      <c r="T54" s="7"/>
      <c r="U54" s="47">
        <v>610.0</v>
      </c>
      <c r="V54" s="48">
        <f t="shared" si="22"/>
        <v>0</v>
      </c>
      <c r="W54" s="48">
        <f t="shared" si="23"/>
        <v>30</v>
      </c>
      <c r="X54" s="48">
        <f t="shared" si="24"/>
        <v>30</v>
      </c>
      <c r="Y54" s="49">
        <f t="shared" si="25"/>
        <v>11850000</v>
      </c>
      <c r="Z54" s="12"/>
      <c r="AA54" s="12"/>
      <c r="AB54" s="12"/>
      <c r="AC54" s="37" t="b">
        <v>1</v>
      </c>
      <c r="AD54" s="38"/>
      <c r="AE54" s="34"/>
      <c r="AF54" s="7"/>
      <c r="AG54" s="35"/>
      <c r="AH54" s="47"/>
      <c r="AI54" s="46"/>
      <c r="AJ54" s="46"/>
      <c r="AK54" s="34"/>
      <c r="AL54" s="34"/>
      <c r="AM54" s="34"/>
      <c r="AN54" s="85"/>
      <c r="AO54" s="86"/>
      <c r="AP54" s="38"/>
      <c r="AQ54" s="64"/>
      <c r="AR54" s="81"/>
      <c r="AS54" s="37" t="s">
        <v>84</v>
      </c>
    </row>
    <row r="55">
      <c r="A55" s="7" t="s">
        <v>48</v>
      </c>
      <c r="B55" s="46">
        <v>450000.0</v>
      </c>
      <c r="C55" s="7"/>
      <c r="D55" s="47">
        <v>1.0</v>
      </c>
      <c r="E55" s="7"/>
      <c r="F55" s="7"/>
      <c r="G55" s="47">
        <v>1.0</v>
      </c>
      <c r="H55" s="7"/>
      <c r="I55" s="7"/>
      <c r="J55" s="7"/>
      <c r="K55" s="47">
        <v>3.0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48">
        <f t="shared" si="22"/>
        <v>0</v>
      </c>
      <c r="W55" s="48">
        <f t="shared" si="23"/>
        <v>4</v>
      </c>
      <c r="X55" s="48">
        <f t="shared" si="24"/>
        <v>4</v>
      </c>
      <c r="Y55" s="49">
        <f t="shared" si="25"/>
        <v>1800000</v>
      </c>
      <c r="Z55" s="12"/>
      <c r="AA55" s="12"/>
      <c r="AB55" s="12"/>
      <c r="AC55" s="37" t="b">
        <v>1</v>
      </c>
      <c r="AD55" s="38"/>
      <c r="AE55" s="34"/>
      <c r="AF55" s="7"/>
      <c r="AG55" s="35"/>
      <c r="AH55" s="47"/>
      <c r="AI55" s="46"/>
      <c r="AJ55" s="46"/>
      <c r="AK55" s="34"/>
      <c r="AL55" s="34"/>
      <c r="AM55" s="34"/>
      <c r="AN55" s="87"/>
      <c r="AO55" s="88"/>
      <c r="AP55" s="38"/>
      <c r="AQ55" s="64"/>
      <c r="AR55" s="81"/>
      <c r="AS55" s="6"/>
    </row>
    <row r="56">
      <c r="A56" s="7" t="s">
        <v>50</v>
      </c>
      <c r="B56" s="46">
        <v>575000.0</v>
      </c>
      <c r="C56" s="7"/>
      <c r="D56" s="47">
        <v>1.0</v>
      </c>
      <c r="E56" s="7"/>
      <c r="F56" s="7"/>
      <c r="G56" s="47">
        <v>6.0</v>
      </c>
      <c r="H56" s="7"/>
      <c r="I56" s="7"/>
      <c r="J56" s="7"/>
      <c r="K56" s="7"/>
      <c r="L56" s="7"/>
      <c r="M56" s="47">
        <v>1.0</v>
      </c>
      <c r="N56" s="7"/>
      <c r="O56" s="7"/>
      <c r="P56" s="7"/>
      <c r="Q56" s="7"/>
      <c r="R56" s="7"/>
      <c r="S56" s="7"/>
      <c r="T56" s="7"/>
      <c r="U56" s="7"/>
      <c r="V56" s="48">
        <f t="shared" si="22"/>
        <v>0</v>
      </c>
      <c r="W56" s="48">
        <f t="shared" si="23"/>
        <v>7</v>
      </c>
      <c r="X56" s="48">
        <f t="shared" si="24"/>
        <v>7</v>
      </c>
      <c r="Y56" s="49">
        <f t="shared" si="25"/>
        <v>4025000</v>
      </c>
      <c r="Z56" s="4"/>
      <c r="AA56" s="4"/>
      <c r="AB56" s="4"/>
      <c r="AC56" s="37" t="b">
        <v>1</v>
      </c>
      <c r="AD56" s="38"/>
      <c r="AE56" s="34"/>
      <c r="AF56" s="7"/>
      <c r="AG56" s="35"/>
      <c r="AH56" s="47"/>
      <c r="AI56" s="46"/>
      <c r="AJ56" s="46"/>
      <c r="AK56" s="34"/>
      <c r="AL56" s="34"/>
      <c r="AM56" s="34"/>
      <c r="AN56" s="46"/>
      <c r="AO56" s="47"/>
      <c r="AP56" s="38"/>
      <c r="AQ56" s="64"/>
      <c r="AR56" s="81"/>
      <c r="AS56" s="37" t="s">
        <v>85</v>
      </c>
    </row>
    <row r="57">
      <c r="A57" s="7" t="s">
        <v>53</v>
      </c>
      <c r="B57" s="53">
        <v>262000.0</v>
      </c>
      <c r="C57" s="7"/>
      <c r="D57" s="47">
        <v>1.0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47">
        <v>1.0</v>
      </c>
      <c r="R57" s="7"/>
      <c r="S57" s="47">
        <v>1.0</v>
      </c>
      <c r="T57" s="7"/>
      <c r="U57" s="7"/>
      <c r="V57" s="54"/>
      <c r="W57" s="48">
        <f t="shared" si="23"/>
        <v>2</v>
      </c>
      <c r="X57" s="54"/>
      <c r="Y57" s="55"/>
      <c r="Z57" s="4"/>
      <c r="AA57" s="4"/>
      <c r="AB57" s="4"/>
      <c r="AC57" s="3"/>
      <c r="AD57" s="38"/>
      <c r="AE57" s="8"/>
      <c r="AF57" s="7"/>
      <c r="AG57" s="7"/>
      <c r="AH57" s="57"/>
      <c r="AI57" s="75"/>
      <c r="AJ57" s="8"/>
      <c r="AK57" s="34"/>
      <c r="AL57" s="34"/>
      <c r="AM57" s="34"/>
      <c r="AN57" s="8"/>
      <c r="AO57" s="7"/>
      <c r="AP57" s="38"/>
      <c r="AQ57" s="84"/>
      <c r="AR57" s="81"/>
      <c r="AS57" s="6"/>
    </row>
    <row r="58">
      <c r="A58" s="7" t="s">
        <v>55</v>
      </c>
      <c r="B58" s="53">
        <v>185000.0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47">
        <v>1.0</v>
      </c>
      <c r="T58" s="7"/>
      <c r="U58" s="7"/>
      <c r="V58" s="54"/>
      <c r="W58" s="48">
        <f t="shared" si="23"/>
        <v>1</v>
      </c>
      <c r="X58" s="54"/>
      <c r="Y58" s="55"/>
      <c r="Z58" s="4"/>
      <c r="AA58" s="4"/>
      <c r="AB58" s="4"/>
      <c r="AC58" s="3"/>
      <c r="AD58" s="38"/>
      <c r="AE58" s="8"/>
      <c r="AF58" s="7"/>
      <c r="AG58" s="7"/>
      <c r="AH58" s="57"/>
      <c r="AI58" s="75"/>
      <c r="AJ58" s="8"/>
      <c r="AK58" s="34"/>
      <c r="AL58" s="34"/>
      <c r="AM58" s="34"/>
      <c r="AN58" s="8"/>
      <c r="AO58" s="7"/>
      <c r="AP58" s="38"/>
      <c r="AQ58" s="84"/>
      <c r="AR58" s="81"/>
      <c r="AS58" s="6"/>
    </row>
    <row r="59">
      <c r="A59" s="7" t="s">
        <v>57</v>
      </c>
      <c r="B59" s="53">
        <v>242000.0</v>
      </c>
      <c r="C59" s="7"/>
      <c r="D59" s="47">
        <v>1.0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47">
        <v>1.0</v>
      </c>
      <c r="R59" s="7"/>
      <c r="S59" s="47">
        <v>1.0</v>
      </c>
      <c r="T59" s="7"/>
      <c r="U59" s="7"/>
      <c r="V59" s="54"/>
      <c r="W59" s="48">
        <f t="shared" si="23"/>
        <v>2</v>
      </c>
      <c r="X59" s="54"/>
      <c r="Y59" s="55"/>
      <c r="Z59" s="4"/>
      <c r="AA59" s="4"/>
      <c r="AB59" s="4"/>
      <c r="AC59" s="3"/>
      <c r="AD59" s="38"/>
      <c r="AE59" s="8"/>
      <c r="AF59" s="7"/>
      <c r="AG59" s="7"/>
      <c r="AH59" s="7"/>
      <c r="AI59" s="7"/>
      <c r="AJ59" s="7"/>
      <c r="AK59" s="34"/>
      <c r="AL59" s="34"/>
      <c r="AM59" s="34"/>
      <c r="AN59" s="8"/>
      <c r="AO59" s="7"/>
      <c r="AP59" s="38"/>
      <c r="AQ59" s="7"/>
      <c r="AR59" s="81"/>
      <c r="AS59" s="6"/>
    </row>
    <row r="60">
      <c r="A60" s="7" t="s">
        <v>60</v>
      </c>
      <c r="B60" s="53">
        <v>202000.0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47">
        <v>1.0</v>
      </c>
      <c r="R60" s="7"/>
      <c r="S60" s="47">
        <v>1.0</v>
      </c>
      <c r="T60" s="7"/>
      <c r="U60" s="7"/>
      <c r="V60" s="54"/>
      <c r="W60" s="48">
        <f t="shared" si="23"/>
        <v>2</v>
      </c>
      <c r="X60" s="54"/>
      <c r="Y60" s="55"/>
      <c r="Z60" s="4"/>
      <c r="AA60" s="4"/>
      <c r="AB60" s="4"/>
      <c r="AC60" s="3"/>
      <c r="AD60" s="38"/>
      <c r="AE60" s="8"/>
      <c r="AF60" s="7"/>
      <c r="AG60" s="7"/>
      <c r="AH60" s="7"/>
      <c r="AI60" s="7"/>
      <c r="AJ60" s="7"/>
      <c r="AK60" s="34"/>
      <c r="AL60" s="34"/>
      <c r="AM60" s="34"/>
      <c r="AN60" s="8"/>
      <c r="AO60" s="7"/>
      <c r="AP60" s="38"/>
      <c r="AQ60" s="7"/>
      <c r="AR60" s="81"/>
      <c r="AS60" s="6"/>
    </row>
    <row r="61">
      <c r="A61" s="7" t="s">
        <v>61</v>
      </c>
      <c r="B61" s="53">
        <v>175000.0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47">
        <v>1.0</v>
      </c>
      <c r="R61" s="7"/>
      <c r="S61" s="47">
        <v>1.0</v>
      </c>
      <c r="T61" s="7"/>
      <c r="U61" s="7"/>
      <c r="V61" s="54"/>
      <c r="W61" s="48">
        <f t="shared" si="23"/>
        <v>2</v>
      </c>
      <c r="X61" s="54"/>
      <c r="Y61" s="55"/>
      <c r="Z61" s="4"/>
      <c r="AA61" s="4"/>
      <c r="AB61" s="4"/>
      <c r="AC61" s="3"/>
      <c r="AD61" s="38"/>
      <c r="AE61" s="8"/>
      <c r="AF61" s="7"/>
      <c r="AG61" s="7"/>
      <c r="AH61" s="7"/>
      <c r="AI61" s="7"/>
      <c r="AJ61" s="7"/>
      <c r="AK61" s="34"/>
      <c r="AL61" s="34"/>
      <c r="AM61" s="34"/>
      <c r="AN61" s="8"/>
      <c r="AO61" s="7"/>
      <c r="AP61" s="38"/>
      <c r="AQ61" s="7"/>
      <c r="AR61" s="81"/>
      <c r="AS61" s="6"/>
    </row>
    <row r="62">
      <c r="A62" s="7" t="s">
        <v>62</v>
      </c>
      <c r="B62" s="53">
        <v>233000.0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54"/>
      <c r="W62" s="48">
        <f t="shared" si="23"/>
        <v>0</v>
      </c>
      <c r="X62" s="54"/>
      <c r="Y62" s="55"/>
      <c r="Z62" s="4"/>
      <c r="AA62" s="4"/>
      <c r="AB62" s="4"/>
      <c r="AC62" s="3"/>
      <c r="AD62" s="89" t="s">
        <v>63</v>
      </c>
      <c r="AE62" s="75"/>
      <c r="AF62" s="57"/>
      <c r="AG62" s="57"/>
      <c r="AH62" s="90">
        <f t="shared" ref="AH62:AO62" si="26">sum(AH39:AH61)</f>
        <v>100</v>
      </c>
      <c r="AI62" s="91">
        <f t="shared" si="26"/>
        <v>170000</v>
      </c>
      <c r="AJ62" s="91">
        <f t="shared" si="26"/>
        <v>210000</v>
      </c>
      <c r="AK62" s="91">
        <f t="shared" si="26"/>
        <v>17000000</v>
      </c>
      <c r="AL62" s="91">
        <f t="shared" si="26"/>
        <v>21000000</v>
      </c>
      <c r="AM62" s="91">
        <f t="shared" si="26"/>
        <v>4000000</v>
      </c>
      <c r="AN62" s="91">
        <f t="shared" si="26"/>
        <v>500000</v>
      </c>
      <c r="AO62" s="91">
        <f t="shared" si="26"/>
        <v>500000</v>
      </c>
      <c r="AP62" s="92">
        <f>sum(AP41:AP61)</f>
        <v>0</v>
      </c>
      <c r="AQ62" s="91">
        <f t="shared" ref="AQ62:AR62" si="27">sum(AQ39:AQ61)</f>
        <v>21000000</v>
      </c>
      <c r="AR62" s="91">
        <f t="shared" si="27"/>
        <v>0</v>
      </c>
      <c r="AS62" s="6"/>
    </row>
    <row r="63">
      <c r="A63" s="7" t="s">
        <v>63</v>
      </c>
      <c r="B63" s="8"/>
      <c r="C63" s="7"/>
      <c r="D63" s="47">
        <f t="shared" ref="D63:W63" si="28">SUM(D53:D62)</f>
        <v>625</v>
      </c>
      <c r="E63" s="47">
        <f t="shared" si="28"/>
        <v>0</v>
      </c>
      <c r="F63" s="47">
        <f t="shared" si="28"/>
        <v>0</v>
      </c>
      <c r="G63" s="47">
        <f t="shared" si="28"/>
        <v>39</v>
      </c>
      <c r="H63" s="47">
        <f t="shared" si="28"/>
        <v>0</v>
      </c>
      <c r="I63" s="47">
        <f t="shared" si="28"/>
        <v>11</v>
      </c>
      <c r="J63" s="47">
        <f t="shared" si="28"/>
        <v>0</v>
      </c>
      <c r="K63" s="47">
        <f t="shared" si="28"/>
        <v>27</v>
      </c>
      <c r="L63" s="47">
        <f t="shared" si="28"/>
        <v>1</v>
      </c>
      <c r="M63" s="47">
        <f t="shared" si="28"/>
        <v>16</v>
      </c>
      <c r="N63" s="47">
        <f t="shared" si="28"/>
        <v>1</v>
      </c>
      <c r="O63" s="47">
        <f t="shared" si="28"/>
        <v>3</v>
      </c>
      <c r="P63" s="47">
        <f t="shared" si="28"/>
        <v>0</v>
      </c>
      <c r="Q63" s="47">
        <f t="shared" si="28"/>
        <v>8</v>
      </c>
      <c r="R63" s="47">
        <f t="shared" si="28"/>
        <v>0</v>
      </c>
      <c r="S63" s="47">
        <f t="shared" si="28"/>
        <v>5</v>
      </c>
      <c r="T63" s="47">
        <f t="shared" si="28"/>
        <v>0</v>
      </c>
      <c r="U63" s="47">
        <f t="shared" si="28"/>
        <v>610</v>
      </c>
      <c r="V63" s="48">
        <f t="shared" si="28"/>
        <v>1</v>
      </c>
      <c r="W63" s="48">
        <f t="shared" si="28"/>
        <v>109</v>
      </c>
      <c r="X63" s="48">
        <f>V63+W63</f>
        <v>110</v>
      </c>
      <c r="Y63" s="49">
        <f>SUM(Y53:Y62)</f>
        <v>37775000</v>
      </c>
      <c r="Z63" s="12"/>
      <c r="AA63" s="12"/>
      <c r="AB63" s="12"/>
      <c r="AC63" s="6"/>
      <c r="AD63" s="6"/>
      <c r="AE63" s="6"/>
      <c r="AF63" s="6"/>
      <c r="AG63" s="6"/>
      <c r="AH63" s="6"/>
      <c r="AI63" s="6"/>
      <c r="AJ63" s="6"/>
      <c r="AK63" s="6"/>
      <c r="AL63" s="93"/>
      <c r="AM63" s="6"/>
      <c r="AN63" s="14"/>
      <c r="AO63" s="6"/>
      <c r="AP63" s="6"/>
      <c r="AQ63" s="6"/>
      <c r="AR63" s="6"/>
      <c r="AS63" s="6"/>
    </row>
    <row r="64">
      <c r="A64" s="7" t="s">
        <v>64</v>
      </c>
      <c r="B64" s="8"/>
      <c r="C64" s="7"/>
      <c r="D64" s="7"/>
      <c r="E64" s="7"/>
      <c r="F64" s="7"/>
      <c r="G64" s="47">
        <f>G63-H63</f>
        <v>39</v>
      </c>
      <c r="H64" s="7"/>
      <c r="I64" s="47">
        <f>I63-J63</f>
        <v>11</v>
      </c>
      <c r="J64" s="7"/>
      <c r="K64" s="47">
        <f>K63-L63</f>
        <v>26</v>
      </c>
      <c r="L64" s="7"/>
      <c r="M64" s="47">
        <f>M63-N63</f>
        <v>15</v>
      </c>
      <c r="N64" s="7"/>
      <c r="O64" s="47">
        <f>O63-P63</f>
        <v>3</v>
      </c>
      <c r="P64" s="7"/>
      <c r="Q64" s="47">
        <f>Q63-R63</f>
        <v>8</v>
      </c>
      <c r="R64" s="7"/>
      <c r="S64" s="47">
        <f>S63-T63</f>
        <v>5</v>
      </c>
      <c r="T64" s="7"/>
      <c r="U64" s="7"/>
      <c r="V64" s="54"/>
      <c r="W64" s="54"/>
      <c r="X64" s="48">
        <f t="shared" ref="X64:Y64" si="29">sum(X53:X63)</f>
        <v>211</v>
      </c>
      <c r="Y64" s="49">
        <f t="shared" si="29"/>
        <v>75550000</v>
      </c>
      <c r="Z64" s="12"/>
      <c r="AA64" s="12"/>
      <c r="AB64" s="12"/>
      <c r="AC64" s="6"/>
      <c r="AD64" s="6"/>
      <c r="AE64" s="6"/>
      <c r="AF64" s="6"/>
      <c r="AG64" s="6"/>
      <c r="AH64" s="6"/>
      <c r="AI64" s="6"/>
      <c r="AJ64" s="6"/>
      <c r="AK64" s="6"/>
      <c r="AL64" s="93"/>
      <c r="AM64" s="6"/>
      <c r="AN64" s="14"/>
      <c r="AO64" s="6"/>
      <c r="AP64" s="6"/>
      <c r="AQ64" s="6"/>
      <c r="AR64" s="6"/>
      <c r="AS64" s="3"/>
    </row>
    <row r="65">
      <c r="A65" s="7"/>
      <c r="B65" s="8"/>
      <c r="C65" s="7"/>
      <c r="D65" s="94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  <c r="X65" s="6"/>
      <c r="Y65" s="6"/>
      <c r="Z65" s="12"/>
      <c r="AA65" s="12"/>
      <c r="AB65" s="12"/>
      <c r="AC65" s="6"/>
      <c r="AD65" s="3"/>
      <c r="AE65" s="2"/>
      <c r="AF65" s="3"/>
      <c r="AG65" s="3"/>
      <c r="AH65" s="3"/>
      <c r="AI65" s="2"/>
      <c r="AJ65" s="2"/>
      <c r="AK65" s="2"/>
      <c r="AL65" s="2"/>
      <c r="AM65" s="2"/>
      <c r="AN65" s="2"/>
      <c r="AO65" s="2"/>
      <c r="AP65" s="33"/>
      <c r="AQ65" s="14"/>
      <c r="AR65" s="14"/>
      <c r="AS65" s="6"/>
    </row>
    <row r="66">
      <c r="A66" s="7"/>
      <c r="B66" s="8"/>
      <c r="C66" s="7"/>
      <c r="D66" s="9">
        <v>45996.0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  <c r="X66" s="6"/>
      <c r="Y66" s="6"/>
      <c r="Z66" s="12"/>
      <c r="AA66" s="12"/>
      <c r="AB66" s="12"/>
      <c r="AC66" s="6"/>
      <c r="AD66" s="95" t="s">
        <v>86</v>
      </c>
      <c r="AE66" s="2"/>
      <c r="AF66" s="3"/>
      <c r="AG66" s="3"/>
      <c r="AH66" s="3"/>
      <c r="AI66" s="2"/>
      <c r="AJ66" s="2"/>
      <c r="AK66" s="2"/>
      <c r="AL66" s="2"/>
      <c r="AM66" s="2"/>
      <c r="AN66" s="2"/>
      <c r="AO66" s="2"/>
      <c r="AP66" s="33"/>
      <c r="AQ66" s="14"/>
      <c r="AR66" s="14"/>
      <c r="AS66" s="6"/>
    </row>
    <row r="67">
      <c r="A67" s="70" t="s">
        <v>6</v>
      </c>
      <c r="B67" s="34" t="b">
        <v>0</v>
      </c>
      <c r="C67" s="7"/>
      <c r="D67" s="71" t="s">
        <v>7</v>
      </c>
      <c r="E67" s="11"/>
      <c r="F67" s="7"/>
      <c r="G67" s="71" t="s">
        <v>8</v>
      </c>
      <c r="H67" s="11"/>
      <c r="I67" s="71" t="s">
        <v>9</v>
      </c>
      <c r="J67" s="11"/>
      <c r="K67" s="72" t="s">
        <v>10</v>
      </c>
      <c r="L67" s="11"/>
      <c r="M67" s="71" t="s">
        <v>11</v>
      </c>
      <c r="N67" s="11"/>
      <c r="O67" s="71" t="s">
        <v>12</v>
      </c>
      <c r="P67" s="11"/>
      <c r="Q67" s="71" t="s">
        <v>13</v>
      </c>
      <c r="R67" s="11"/>
      <c r="S67" s="71" t="s">
        <v>14</v>
      </c>
      <c r="T67" s="11"/>
      <c r="U67" s="35" t="s">
        <v>15</v>
      </c>
      <c r="V67" s="73" t="s">
        <v>16</v>
      </c>
      <c r="W67" s="10"/>
      <c r="X67" s="10"/>
      <c r="Y67" s="11"/>
      <c r="Z67" s="12"/>
      <c r="AA67" s="12"/>
      <c r="AB67" s="12"/>
      <c r="AC67" s="6"/>
      <c r="AD67" s="96" t="s">
        <v>68</v>
      </c>
      <c r="AE67" s="81" t="s">
        <v>87</v>
      </c>
      <c r="AF67" s="96" t="s">
        <v>70</v>
      </c>
      <c r="AG67" s="96" t="s">
        <v>71</v>
      </c>
      <c r="AH67" s="96" t="s">
        <v>21</v>
      </c>
      <c r="AI67" s="81" t="s">
        <v>22</v>
      </c>
      <c r="AJ67" s="81" t="s">
        <v>72</v>
      </c>
      <c r="AK67" s="81" t="s">
        <v>23</v>
      </c>
      <c r="AL67" s="81" t="s">
        <v>88</v>
      </c>
      <c r="AM67" s="81" t="s">
        <v>74</v>
      </c>
      <c r="AN67" s="81" t="s">
        <v>67</v>
      </c>
      <c r="AO67" s="81" t="s">
        <v>77</v>
      </c>
      <c r="AP67" s="81" t="s">
        <v>16</v>
      </c>
      <c r="AQ67" s="14"/>
      <c r="AR67" s="14"/>
      <c r="AS67" s="6"/>
    </row>
    <row r="68">
      <c r="A68" s="7"/>
      <c r="B68" s="34" t="s">
        <v>28</v>
      </c>
      <c r="C68" s="35" t="s">
        <v>29</v>
      </c>
      <c r="D68" s="35" t="s">
        <v>30</v>
      </c>
      <c r="E68" s="35" t="s">
        <v>31</v>
      </c>
      <c r="F68" s="35" t="s">
        <v>32</v>
      </c>
      <c r="G68" s="35" t="s">
        <v>33</v>
      </c>
      <c r="H68" s="35" t="s">
        <v>31</v>
      </c>
      <c r="I68" s="35" t="s">
        <v>33</v>
      </c>
      <c r="J68" s="35" t="s">
        <v>31</v>
      </c>
      <c r="K68" s="35" t="s">
        <v>33</v>
      </c>
      <c r="L68" s="35" t="s">
        <v>31</v>
      </c>
      <c r="M68" s="35" t="s">
        <v>33</v>
      </c>
      <c r="N68" s="35" t="s">
        <v>31</v>
      </c>
      <c r="O68" s="35" t="s">
        <v>33</v>
      </c>
      <c r="P68" s="35" t="s">
        <v>31</v>
      </c>
      <c r="Q68" s="35" t="s">
        <v>33</v>
      </c>
      <c r="R68" s="35" t="s">
        <v>31</v>
      </c>
      <c r="S68" s="35" t="s">
        <v>33</v>
      </c>
      <c r="T68" s="35" t="s">
        <v>31</v>
      </c>
      <c r="U68" s="35" t="s">
        <v>34</v>
      </c>
      <c r="V68" s="36" t="s">
        <v>7</v>
      </c>
      <c r="W68" s="36" t="s">
        <v>35</v>
      </c>
      <c r="X68" s="36" t="s">
        <v>36</v>
      </c>
      <c r="Y68" s="36" t="s">
        <v>37</v>
      </c>
      <c r="Z68" s="12"/>
      <c r="AA68" s="12"/>
      <c r="AB68" s="12"/>
      <c r="AC68" s="37" t="b">
        <v>1</v>
      </c>
      <c r="AD68" s="38">
        <v>45992.0</v>
      </c>
      <c r="AE68" s="34" t="s">
        <v>89</v>
      </c>
      <c r="AF68" s="35" t="s">
        <v>8</v>
      </c>
      <c r="AG68" s="35" t="s">
        <v>90</v>
      </c>
      <c r="AH68" s="47">
        <v>1.0</v>
      </c>
      <c r="AI68" s="46">
        <v>190000.0</v>
      </c>
      <c r="AJ68" s="46">
        <v>335000.0</v>
      </c>
      <c r="AK68" s="34">
        <f>AI68*AH68</f>
        <v>190000</v>
      </c>
      <c r="AL68" s="34">
        <f>AH68*AJ68</f>
        <v>335000</v>
      </c>
      <c r="AM68" s="34">
        <f>AL68-AK68</f>
        <v>145000</v>
      </c>
      <c r="AN68" s="46">
        <v>60000.0</v>
      </c>
      <c r="AO68" s="38">
        <v>45992.0</v>
      </c>
      <c r="AP68" s="81" t="str">
        <f>AL68-#REF!</f>
        <v>#REF!</v>
      </c>
      <c r="AQ68" s="14"/>
      <c r="AR68" s="14"/>
      <c r="AS68" s="6"/>
    </row>
    <row r="69">
      <c r="A69" s="7" t="s">
        <v>42</v>
      </c>
      <c r="B69" s="46">
        <v>335000.0</v>
      </c>
      <c r="C69" s="7"/>
      <c r="D69" s="47">
        <v>1.0</v>
      </c>
      <c r="E69" s="7"/>
      <c r="F69" s="7"/>
      <c r="G69" s="47">
        <v>14.0</v>
      </c>
      <c r="H69" s="7"/>
      <c r="I69" s="47">
        <v>8.0</v>
      </c>
      <c r="J69" s="7"/>
      <c r="K69" s="47">
        <v>23.0</v>
      </c>
      <c r="L69" s="47">
        <v>1.0</v>
      </c>
      <c r="M69" s="47">
        <v>11.0</v>
      </c>
      <c r="N69" s="7"/>
      <c r="O69" s="7"/>
      <c r="P69" s="7"/>
      <c r="Q69" s="47">
        <v>1.0</v>
      </c>
      <c r="R69" s="7"/>
      <c r="S69" s="7"/>
      <c r="T69" s="7"/>
      <c r="U69" s="7"/>
      <c r="V69" s="48">
        <f t="shared" ref="V69:V72" si="30">F69+H69+J69+L69</f>
        <v>1</v>
      </c>
      <c r="W69" s="48">
        <f t="shared" ref="W69:W78" si="31">G69+I69+K69+M69+O69+Q69+S69</f>
        <v>57</v>
      </c>
      <c r="X69" s="48">
        <f t="shared" ref="X69:X72" si="32">V69+W69</f>
        <v>58</v>
      </c>
      <c r="Y69" s="49">
        <f t="shared" ref="Y69:Y72" si="33">B69*X69</f>
        <v>19430000</v>
      </c>
      <c r="Z69" s="12"/>
      <c r="AA69" s="12"/>
      <c r="AB69" s="12"/>
      <c r="AC69" s="37" t="b">
        <v>1</v>
      </c>
      <c r="AD69" s="38"/>
      <c r="AE69" s="34"/>
      <c r="AF69" s="35"/>
      <c r="AG69" s="97" t="s">
        <v>40</v>
      </c>
      <c r="AH69" s="47"/>
      <c r="AI69" s="46"/>
      <c r="AJ69" s="46"/>
      <c r="AK69" s="34"/>
      <c r="AL69" s="34"/>
      <c r="AM69" s="34"/>
      <c r="AN69" s="46"/>
      <c r="AO69" s="38"/>
      <c r="AP69" s="81"/>
      <c r="AQ69" s="14"/>
      <c r="AR69" s="14"/>
      <c r="AS69" s="6"/>
    </row>
    <row r="70">
      <c r="A70" s="7" t="s">
        <v>45</v>
      </c>
      <c r="B70" s="13">
        <v>395000.0</v>
      </c>
      <c r="C70" s="6"/>
      <c r="D70" s="47">
        <v>10.0</v>
      </c>
      <c r="E70" s="7"/>
      <c r="F70" s="47">
        <v>5.0</v>
      </c>
      <c r="G70" s="47">
        <v>18.0</v>
      </c>
      <c r="H70" s="7"/>
      <c r="I70" s="47">
        <v>3.0</v>
      </c>
      <c r="J70" s="7"/>
      <c r="K70" s="7"/>
      <c r="L70" s="7"/>
      <c r="M70" s="47">
        <v>3.0</v>
      </c>
      <c r="N70" s="7"/>
      <c r="O70" s="47">
        <v>3.0</v>
      </c>
      <c r="P70" s="47">
        <v>1.0</v>
      </c>
      <c r="Q70" s="47">
        <v>3.0</v>
      </c>
      <c r="R70" s="7"/>
      <c r="S70" s="7"/>
      <c r="T70" s="7"/>
      <c r="U70" s="7"/>
      <c r="V70" s="48">
        <f t="shared" si="30"/>
        <v>5</v>
      </c>
      <c r="W70" s="48">
        <f t="shared" si="31"/>
        <v>30</v>
      </c>
      <c r="X70" s="48">
        <f t="shared" si="32"/>
        <v>35</v>
      </c>
      <c r="Y70" s="49">
        <f t="shared" si="33"/>
        <v>13825000</v>
      </c>
      <c r="Z70" s="12"/>
      <c r="AA70" s="12"/>
      <c r="AB70" s="12"/>
      <c r="AC70" s="37" t="b">
        <v>1</v>
      </c>
      <c r="AD70" s="38"/>
      <c r="AE70" s="34"/>
      <c r="AF70" s="35"/>
      <c r="AG70" s="35"/>
      <c r="AH70" s="76"/>
      <c r="AI70" s="98"/>
      <c r="AJ70" s="98"/>
      <c r="AK70" s="34"/>
      <c r="AL70" s="34"/>
      <c r="AM70" s="34"/>
      <c r="AN70" s="98"/>
      <c r="AO70" s="38"/>
      <c r="AP70" s="81"/>
      <c r="AQ70" s="14"/>
      <c r="AR70" s="14"/>
      <c r="AS70" s="6"/>
    </row>
    <row r="71">
      <c r="A71" s="7" t="s">
        <v>48</v>
      </c>
      <c r="B71" s="46">
        <v>450000.0</v>
      </c>
      <c r="C71" s="7"/>
      <c r="D71" s="47">
        <v>1.0</v>
      </c>
      <c r="E71" s="7"/>
      <c r="F71" s="7"/>
      <c r="G71" s="47">
        <v>1.0</v>
      </c>
      <c r="H71" s="7"/>
      <c r="I71" s="7"/>
      <c r="J71" s="7"/>
      <c r="K71" s="47">
        <v>3.0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48">
        <f t="shared" si="30"/>
        <v>0</v>
      </c>
      <c r="W71" s="48">
        <f t="shared" si="31"/>
        <v>4</v>
      </c>
      <c r="X71" s="48">
        <f t="shared" si="32"/>
        <v>4</v>
      </c>
      <c r="Y71" s="49">
        <f t="shared" si="33"/>
        <v>1800000</v>
      </c>
      <c r="Z71" s="12"/>
      <c r="AA71" s="12"/>
      <c r="AB71" s="12"/>
      <c r="AC71" s="37" t="b">
        <v>1</v>
      </c>
      <c r="AD71" s="38"/>
      <c r="AE71" s="34"/>
      <c r="AF71" s="35"/>
      <c r="AG71" s="35"/>
      <c r="AH71" s="76"/>
      <c r="AI71" s="98"/>
      <c r="AJ71" s="98"/>
      <c r="AK71" s="34"/>
      <c r="AL71" s="34"/>
      <c r="AM71" s="34"/>
      <c r="AN71" s="98"/>
      <c r="AO71" s="38"/>
      <c r="AP71" s="81"/>
      <c r="AQ71" s="14"/>
      <c r="AR71" s="14"/>
      <c r="AS71" s="6"/>
    </row>
    <row r="72">
      <c r="A72" s="7" t="s">
        <v>50</v>
      </c>
      <c r="B72" s="46">
        <v>575000.0</v>
      </c>
      <c r="C72" s="7"/>
      <c r="D72" s="47">
        <v>1.0</v>
      </c>
      <c r="E72" s="7"/>
      <c r="F72" s="7"/>
      <c r="G72" s="47">
        <v>6.0</v>
      </c>
      <c r="H72" s="7"/>
      <c r="I72" s="7"/>
      <c r="J72" s="7"/>
      <c r="K72" s="7"/>
      <c r="L72" s="7"/>
      <c r="M72" s="47">
        <v>1.0</v>
      </c>
      <c r="N72" s="7"/>
      <c r="O72" s="7"/>
      <c r="P72" s="7"/>
      <c r="Q72" s="7"/>
      <c r="R72" s="7"/>
      <c r="S72" s="7"/>
      <c r="T72" s="7"/>
      <c r="U72" s="7"/>
      <c r="V72" s="48">
        <f t="shared" si="30"/>
        <v>0</v>
      </c>
      <c r="W72" s="48">
        <f t="shared" si="31"/>
        <v>7</v>
      </c>
      <c r="X72" s="48">
        <f t="shared" si="32"/>
        <v>7</v>
      </c>
      <c r="Y72" s="49">
        <f t="shared" si="33"/>
        <v>4025000</v>
      </c>
      <c r="Z72" s="12"/>
      <c r="AA72" s="12"/>
      <c r="AB72" s="12"/>
      <c r="AC72" s="37" t="b">
        <v>1</v>
      </c>
      <c r="AD72" s="38"/>
      <c r="AE72" s="34"/>
      <c r="AF72" s="35"/>
      <c r="AG72" s="35"/>
      <c r="AH72" s="47"/>
      <c r="AI72" s="46"/>
      <c r="AJ72" s="46"/>
      <c r="AK72" s="34"/>
      <c r="AL72" s="34"/>
      <c r="AM72" s="34"/>
      <c r="AN72" s="46"/>
      <c r="AO72" s="38"/>
      <c r="AP72" s="81"/>
      <c r="AQ72" s="14"/>
      <c r="AR72" s="14"/>
      <c r="AS72" s="6"/>
    </row>
    <row r="73">
      <c r="A73" s="7" t="s">
        <v>53</v>
      </c>
      <c r="B73" s="53">
        <v>262000.0</v>
      </c>
      <c r="C73" s="7"/>
      <c r="D73" s="47">
        <v>1.0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47">
        <v>1.0</v>
      </c>
      <c r="R73" s="7"/>
      <c r="S73" s="47">
        <v>1.0</v>
      </c>
      <c r="T73" s="7"/>
      <c r="U73" s="7"/>
      <c r="V73" s="54"/>
      <c r="W73" s="48">
        <f t="shared" si="31"/>
        <v>2</v>
      </c>
      <c r="X73" s="54"/>
      <c r="Y73" s="55"/>
      <c r="Z73" s="12"/>
      <c r="AA73" s="12"/>
      <c r="AB73" s="12"/>
      <c r="AC73" s="37" t="b">
        <v>1</v>
      </c>
      <c r="AD73" s="38"/>
      <c r="AE73" s="34"/>
      <c r="AF73" s="35"/>
      <c r="AG73" s="35"/>
      <c r="AH73" s="47"/>
      <c r="AI73" s="46"/>
      <c r="AJ73" s="46"/>
      <c r="AK73" s="34"/>
      <c r="AL73" s="34"/>
      <c r="AM73" s="34"/>
      <c r="AN73" s="46"/>
      <c r="AO73" s="38"/>
      <c r="AP73" s="81"/>
      <c r="AQ73" s="14"/>
      <c r="AR73" s="14"/>
      <c r="AS73" s="6"/>
    </row>
    <row r="74">
      <c r="A74" s="7" t="s">
        <v>55</v>
      </c>
      <c r="B74" s="53">
        <v>185000.0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47">
        <v>1.0</v>
      </c>
      <c r="T74" s="7"/>
      <c r="U74" s="7"/>
      <c r="V74" s="54"/>
      <c r="W74" s="48">
        <f t="shared" si="31"/>
        <v>1</v>
      </c>
      <c r="X74" s="54"/>
      <c r="Y74" s="55"/>
      <c r="Z74" s="12"/>
      <c r="AA74" s="12"/>
      <c r="AB74" s="12"/>
      <c r="AC74" s="37" t="b">
        <v>1</v>
      </c>
      <c r="AD74" s="38"/>
      <c r="AE74" s="34"/>
      <c r="AF74" s="35"/>
      <c r="AG74" s="35"/>
      <c r="AH74" s="35"/>
      <c r="AI74" s="34"/>
      <c r="AJ74" s="34"/>
      <c r="AK74" s="34"/>
      <c r="AL74" s="34"/>
      <c r="AM74" s="34"/>
      <c r="AN74" s="34"/>
      <c r="AO74" s="38"/>
      <c r="AP74" s="81"/>
      <c r="AQ74" s="14"/>
      <c r="AR74" s="14"/>
      <c r="AS74" s="6"/>
    </row>
    <row r="75">
      <c r="A75" s="7" t="s">
        <v>57</v>
      </c>
      <c r="B75" s="53">
        <v>242000.0</v>
      </c>
      <c r="C75" s="7"/>
      <c r="D75" s="47">
        <v>1.0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47">
        <v>1.0</v>
      </c>
      <c r="R75" s="7"/>
      <c r="S75" s="47">
        <v>1.0</v>
      </c>
      <c r="T75" s="7"/>
      <c r="U75" s="7"/>
      <c r="V75" s="54"/>
      <c r="W75" s="48">
        <f t="shared" si="31"/>
        <v>2</v>
      </c>
      <c r="X75" s="54"/>
      <c r="Y75" s="55"/>
      <c r="Z75" s="12"/>
      <c r="AA75" s="12"/>
      <c r="AB75" s="12"/>
      <c r="AC75" s="37" t="b">
        <v>1</v>
      </c>
      <c r="AD75" s="38"/>
      <c r="AE75" s="34"/>
      <c r="AF75" s="35"/>
      <c r="AG75" s="35"/>
      <c r="AH75" s="47"/>
      <c r="AI75" s="46"/>
      <c r="AJ75" s="46"/>
      <c r="AK75" s="34"/>
      <c r="AL75" s="34"/>
      <c r="AM75" s="34"/>
      <c r="AN75" s="46"/>
      <c r="AO75" s="38"/>
      <c r="AP75" s="81"/>
      <c r="AQ75" s="14"/>
      <c r="AR75" s="14"/>
      <c r="AS75" s="6"/>
    </row>
    <row r="76">
      <c r="A76" s="7" t="s">
        <v>60</v>
      </c>
      <c r="B76" s="53">
        <v>202000.0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47">
        <v>1.0</v>
      </c>
      <c r="R76" s="7"/>
      <c r="S76" s="47">
        <v>1.0</v>
      </c>
      <c r="T76" s="7"/>
      <c r="U76" s="7"/>
      <c r="V76" s="54"/>
      <c r="W76" s="48">
        <f t="shared" si="31"/>
        <v>2</v>
      </c>
      <c r="X76" s="54"/>
      <c r="Y76" s="55"/>
      <c r="Z76" s="12"/>
      <c r="AA76" s="12"/>
      <c r="AB76" s="12"/>
      <c r="AC76" s="37" t="b">
        <v>1</v>
      </c>
      <c r="AD76" s="38"/>
      <c r="AE76" s="34"/>
      <c r="AF76" s="35"/>
      <c r="AG76" s="35"/>
      <c r="AH76" s="47"/>
      <c r="AI76" s="46"/>
      <c r="AJ76" s="46"/>
      <c r="AK76" s="34"/>
      <c r="AL76" s="34"/>
      <c r="AM76" s="34"/>
      <c r="AN76" s="46"/>
      <c r="AO76" s="38"/>
      <c r="AP76" s="81"/>
      <c r="AQ76" s="14"/>
      <c r="AR76" s="14"/>
      <c r="AS76" s="6"/>
    </row>
    <row r="77">
      <c r="A77" s="7" t="s">
        <v>61</v>
      </c>
      <c r="B77" s="53">
        <v>175000.0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47">
        <v>1.0</v>
      </c>
      <c r="R77" s="7"/>
      <c r="S77" s="47">
        <v>1.0</v>
      </c>
      <c r="T77" s="7"/>
      <c r="U77" s="7"/>
      <c r="V77" s="54"/>
      <c r="W77" s="48">
        <f t="shared" si="31"/>
        <v>2</v>
      </c>
      <c r="X77" s="54"/>
      <c r="Y77" s="55"/>
      <c r="Z77" s="12"/>
      <c r="AA77" s="12"/>
      <c r="AB77" s="12"/>
      <c r="AC77" s="37" t="b">
        <v>1</v>
      </c>
      <c r="AD77" s="38"/>
      <c r="AE77" s="34"/>
      <c r="AF77" s="35"/>
      <c r="AG77" s="35"/>
      <c r="AH77" s="35"/>
      <c r="AI77" s="34"/>
      <c r="AJ77" s="34"/>
      <c r="AK77" s="34"/>
      <c r="AL77" s="34"/>
      <c r="AM77" s="34"/>
      <c r="AN77" s="34"/>
      <c r="AO77" s="38"/>
      <c r="AP77" s="81"/>
      <c r="AQ77" s="14"/>
      <c r="AR77" s="14"/>
      <c r="AS77" s="6"/>
    </row>
    <row r="78">
      <c r="A78" s="7" t="s">
        <v>62</v>
      </c>
      <c r="B78" s="53">
        <v>233000.0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54"/>
      <c r="W78" s="48">
        <f t="shared" si="31"/>
        <v>0</v>
      </c>
      <c r="X78" s="54"/>
      <c r="Y78" s="55"/>
      <c r="Z78" s="12"/>
      <c r="AA78" s="12"/>
      <c r="AB78" s="12"/>
      <c r="AC78" s="37" t="b">
        <v>1</v>
      </c>
      <c r="AD78" s="38"/>
      <c r="AE78" s="34"/>
      <c r="AF78" s="35"/>
      <c r="AG78" s="35"/>
      <c r="AH78" s="47"/>
      <c r="AI78" s="46"/>
      <c r="AJ78" s="46"/>
      <c r="AK78" s="34"/>
      <c r="AL78" s="34"/>
      <c r="AM78" s="34"/>
      <c r="AN78" s="46"/>
      <c r="AO78" s="38"/>
      <c r="AP78" s="81"/>
      <c r="AQ78" s="14"/>
      <c r="AR78" s="14"/>
      <c r="AS78" s="6"/>
    </row>
    <row r="79">
      <c r="A79" s="7" t="s">
        <v>63</v>
      </c>
      <c r="B79" s="8"/>
      <c r="C79" s="7"/>
      <c r="D79" s="47">
        <f t="shared" ref="D79:W79" si="34">SUM(D69:D78)</f>
        <v>15</v>
      </c>
      <c r="E79" s="47">
        <f t="shared" si="34"/>
        <v>0</v>
      </c>
      <c r="F79" s="47">
        <f t="shared" si="34"/>
        <v>5</v>
      </c>
      <c r="G79" s="47">
        <f t="shared" si="34"/>
        <v>39</v>
      </c>
      <c r="H79" s="47">
        <f t="shared" si="34"/>
        <v>0</v>
      </c>
      <c r="I79" s="47">
        <f t="shared" si="34"/>
        <v>11</v>
      </c>
      <c r="J79" s="47">
        <f t="shared" si="34"/>
        <v>0</v>
      </c>
      <c r="K79" s="47">
        <f t="shared" si="34"/>
        <v>26</v>
      </c>
      <c r="L79" s="47">
        <f t="shared" si="34"/>
        <v>1</v>
      </c>
      <c r="M79" s="47">
        <f t="shared" si="34"/>
        <v>15</v>
      </c>
      <c r="N79" s="47">
        <f t="shared" si="34"/>
        <v>0</v>
      </c>
      <c r="O79" s="47">
        <f t="shared" si="34"/>
        <v>3</v>
      </c>
      <c r="P79" s="47">
        <f t="shared" si="34"/>
        <v>1</v>
      </c>
      <c r="Q79" s="47">
        <f t="shared" si="34"/>
        <v>8</v>
      </c>
      <c r="R79" s="47">
        <f t="shared" si="34"/>
        <v>0</v>
      </c>
      <c r="S79" s="47">
        <f t="shared" si="34"/>
        <v>5</v>
      </c>
      <c r="T79" s="47">
        <f t="shared" si="34"/>
        <v>0</v>
      </c>
      <c r="U79" s="47">
        <f t="shared" si="34"/>
        <v>0</v>
      </c>
      <c r="V79" s="48">
        <f t="shared" si="34"/>
        <v>6</v>
      </c>
      <c r="W79" s="48">
        <f t="shared" si="34"/>
        <v>107</v>
      </c>
      <c r="X79" s="48">
        <f>V79+W79</f>
        <v>113</v>
      </c>
      <c r="Y79" s="49">
        <f>SUM(Y69:Y78)</f>
        <v>39080000</v>
      </c>
      <c r="Z79" s="12"/>
      <c r="AA79" s="12"/>
      <c r="AB79" s="12"/>
      <c r="AC79" s="37" t="b">
        <v>1</v>
      </c>
      <c r="AD79" s="38"/>
      <c r="AE79" s="34"/>
      <c r="AF79" s="35"/>
      <c r="AG79" s="35"/>
      <c r="AH79" s="35"/>
      <c r="AI79" s="34"/>
      <c r="AJ79" s="34"/>
      <c r="AK79" s="34"/>
      <c r="AL79" s="34"/>
      <c r="AM79" s="34"/>
      <c r="AN79" s="34"/>
      <c r="AO79" s="34"/>
      <c r="AP79" s="81"/>
      <c r="AQ79" s="2"/>
      <c r="AR79" s="2"/>
      <c r="AS79" s="6"/>
    </row>
    <row r="80">
      <c r="A80" s="7" t="s">
        <v>64</v>
      </c>
      <c r="B80" s="8"/>
      <c r="C80" s="7"/>
      <c r="D80" s="7"/>
      <c r="E80" s="7"/>
      <c r="F80" s="7"/>
      <c r="G80" s="47">
        <f>G79-H79</f>
        <v>39</v>
      </c>
      <c r="H80" s="7"/>
      <c r="I80" s="47">
        <f>I79-J79</f>
        <v>11</v>
      </c>
      <c r="J80" s="7"/>
      <c r="K80" s="47">
        <f>K79-L79</f>
        <v>25</v>
      </c>
      <c r="L80" s="7"/>
      <c r="M80" s="47">
        <f>M79-N79</f>
        <v>15</v>
      </c>
      <c r="N80" s="7"/>
      <c r="O80" s="47">
        <f>O79-P79</f>
        <v>2</v>
      </c>
      <c r="P80" s="7"/>
      <c r="Q80" s="47">
        <f>Q79-R79</f>
        <v>8</v>
      </c>
      <c r="R80" s="7"/>
      <c r="S80" s="47">
        <f>S79-T79</f>
        <v>5</v>
      </c>
      <c r="T80" s="7"/>
      <c r="U80" s="7"/>
      <c r="V80" s="54"/>
      <c r="W80" s="54"/>
      <c r="X80" s="48">
        <f t="shared" ref="X80:Y80" si="35">sum(X69:X79)</f>
        <v>217</v>
      </c>
      <c r="Y80" s="49">
        <f t="shared" si="35"/>
        <v>78160000</v>
      </c>
      <c r="Z80" s="12"/>
      <c r="AA80" s="12"/>
      <c r="AB80" s="12"/>
      <c r="AC80" s="37" t="b">
        <v>1</v>
      </c>
      <c r="AD80" s="38"/>
      <c r="AE80" s="34"/>
      <c r="AF80" s="35"/>
      <c r="AG80" s="35"/>
      <c r="AH80" s="47"/>
      <c r="AI80" s="46"/>
      <c r="AJ80" s="46"/>
      <c r="AK80" s="34"/>
      <c r="AL80" s="34"/>
      <c r="AM80" s="34"/>
      <c r="AN80" s="46"/>
      <c r="AO80" s="38"/>
      <c r="AP80" s="81"/>
      <c r="AQ80" s="14"/>
      <c r="AR80" s="14"/>
      <c r="AS80" s="6"/>
    </row>
    <row r="81">
      <c r="A81" s="6"/>
      <c r="B81" s="14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7"/>
      <c r="W81" s="67"/>
      <c r="X81" s="67"/>
      <c r="Y81" s="68"/>
      <c r="Z81" s="12"/>
      <c r="AA81" s="12"/>
      <c r="AB81" s="12"/>
      <c r="AC81" s="37" t="b">
        <v>1</v>
      </c>
      <c r="AD81" s="38"/>
      <c r="AE81" s="34"/>
      <c r="AF81" s="35"/>
      <c r="AG81" s="35"/>
      <c r="AH81" s="47"/>
      <c r="AI81" s="46"/>
      <c r="AJ81" s="46"/>
      <c r="AK81" s="34"/>
      <c r="AL81" s="34"/>
      <c r="AM81" s="34"/>
      <c r="AN81" s="46"/>
      <c r="AO81" s="38"/>
      <c r="AP81" s="81"/>
      <c r="AQ81" s="14"/>
      <c r="AR81" s="14"/>
      <c r="AS81" s="6"/>
    </row>
    <row r="82">
      <c r="A82" s="6"/>
      <c r="B82" s="1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14"/>
      <c r="Y82" s="14"/>
      <c r="Z82" s="12"/>
      <c r="AA82" s="12"/>
      <c r="AB82" s="12"/>
      <c r="AC82" s="13" t="b">
        <v>1</v>
      </c>
      <c r="AD82" s="38"/>
      <c r="AE82" s="34"/>
      <c r="AF82" s="35"/>
      <c r="AG82" s="35"/>
      <c r="AH82" s="47"/>
      <c r="AI82" s="46"/>
      <c r="AJ82" s="46"/>
      <c r="AK82" s="34"/>
      <c r="AL82" s="34"/>
      <c r="AM82" s="34"/>
      <c r="AN82" s="46"/>
      <c r="AO82" s="38"/>
      <c r="AP82" s="81"/>
      <c r="AQ82" s="14"/>
      <c r="AR82" s="14"/>
      <c r="AS82" s="6"/>
    </row>
    <row r="83">
      <c r="A83" s="7"/>
      <c r="B83" s="8"/>
      <c r="C83" s="7"/>
      <c r="D83" s="9">
        <v>45997.0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  <c r="X83" s="6"/>
      <c r="Y83" s="6"/>
      <c r="Z83" s="12"/>
      <c r="AA83" s="12"/>
      <c r="AB83" s="12"/>
      <c r="AC83" s="37" t="b">
        <v>1</v>
      </c>
      <c r="AD83" s="38"/>
      <c r="AE83" s="34"/>
      <c r="AF83" s="35"/>
      <c r="AG83" s="35"/>
      <c r="AH83" s="47"/>
      <c r="AI83" s="46"/>
      <c r="AJ83" s="46"/>
      <c r="AK83" s="34"/>
      <c r="AL83" s="34"/>
      <c r="AM83" s="34"/>
      <c r="AN83" s="8"/>
      <c r="AO83" s="38"/>
      <c r="AP83" s="81"/>
      <c r="AQ83" s="14"/>
      <c r="AR83" s="14"/>
      <c r="AS83" s="6"/>
    </row>
    <row r="84">
      <c r="A84" s="70" t="s">
        <v>6</v>
      </c>
      <c r="B84" s="34" t="b">
        <v>0</v>
      </c>
      <c r="C84" s="7"/>
      <c r="D84" s="71" t="s">
        <v>7</v>
      </c>
      <c r="E84" s="11"/>
      <c r="F84" s="7"/>
      <c r="G84" s="71" t="s">
        <v>8</v>
      </c>
      <c r="H84" s="11"/>
      <c r="I84" s="71" t="s">
        <v>9</v>
      </c>
      <c r="J84" s="11"/>
      <c r="K84" s="72" t="s">
        <v>10</v>
      </c>
      <c r="L84" s="11"/>
      <c r="M84" s="71" t="s">
        <v>11</v>
      </c>
      <c r="N84" s="11"/>
      <c r="O84" s="71" t="s">
        <v>12</v>
      </c>
      <c r="P84" s="11"/>
      <c r="Q84" s="71" t="s">
        <v>13</v>
      </c>
      <c r="R84" s="11"/>
      <c r="S84" s="71" t="s">
        <v>14</v>
      </c>
      <c r="T84" s="11"/>
      <c r="U84" s="35" t="s">
        <v>15</v>
      </c>
      <c r="V84" s="73" t="s">
        <v>16</v>
      </c>
      <c r="W84" s="10"/>
      <c r="X84" s="10"/>
      <c r="Y84" s="11"/>
      <c r="Z84" s="12"/>
      <c r="AA84" s="12"/>
      <c r="AB84" s="12"/>
      <c r="AC84" s="37" t="b">
        <v>1</v>
      </c>
      <c r="AD84" s="38"/>
      <c r="AE84" s="34"/>
      <c r="AF84" s="35"/>
      <c r="AG84" s="35"/>
      <c r="AH84" s="47"/>
      <c r="AI84" s="46"/>
      <c r="AJ84" s="46"/>
      <c r="AK84" s="34"/>
      <c r="AL84" s="34"/>
      <c r="AM84" s="34"/>
      <c r="AN84" s="46"/>
      <c r="AO84" s="38"/>
      <c r="AP84" s="81"/>
      <c r="AQ84" s="14"/>
      <c r="AR84" s="14"/>
      <c r="AS84" s="14"/>
    </row>
    <row r="85">
      <c r="A85" s="7"/>
      <c r="B85" s="34" t="s">
        <v>28</v>
      </c>
      <c r="C85" s="35" t="s">
        <v>29</v>
      </c>
      <c r="D85" s="35" t="s">
        <v>30</v>
      </c>
      <c r="E85" s="35" t="s">
        <v>31</v>
      </c>
      <c r="F85" s="35" t="s">
        <v>32</v>
      </c>
      <c r="G85" s="35" t="s">
        <v>33</v>
      </c>
      <c r="H85" s="35" t="s">
        <v>31</v>
      </c>
      <c r="I85" s="35" t="s">
        <v>33</v>
      </c>
      <c r="J85" s="35" t="s">
        <v>31</v>
      </c>
      <c r="K85" s="35" t="s">
        <v>33</v>
      </c>
      <c r="L85" s="35" t="s">
        <v>31</v>
      </c>
      <c r="M85" s="35" t="s">
        <v>33</v>
      </c>
      <c r="N85" s="35" t="s">
        <v>31</v>
      </c>
      <c r="O85" s="35" t="s">
        <v>33</v>
      </c>
      <c r="P85" s="35" t="s">
        <v>31</v>
      </c>
      <c r="Q85" s="35" t="s">
        <v>33</v>
      </c>
      <c r="R85" s="35" t="s">
        <v>31</v>
      </c>
      <c r="S85" s="35" t="s">
        <v>33</v>
      </c>
      <c r="T85" s="35" t="s">
        <v>31</v>
      </c>
      <c r="U85" s="35" t="s">
        <v>34</v>
      </c>
      <c r="V85" s="36" t="s">
        <v>7</v>
      </c>
      <c r="W85" s="36" t="s">
        <v>35</v>
      </c>
      <c r="X85" s="36" t="s">
        <v>36</v>
      </c>
      <c r="Y85" s="36" t="s">
        <v>37</v>
      </c>
      <c r="Z85" s="12"/>
      <c r="AA85" s="12"/>
      <c r="AB85" s="12"/>
      <c r="AC85" s="37" t="b">
        <v>1</v>
      </c>
      <c r="AD85" s="38"/>
      <c r="AE85" s="34"/>
      <c r="AF85" s="35"/>
      <c r="AG85" s="35"/>
      <c r="AH85" s="76"/>
      <c r="AI85" s="98"/>
      <c r="AJ85" s="98"/>
      <c r="AK85" s="34"/>
      <c r="AL85" s="34"/>
      <c r="AM85" s="34"/>
      <c r="AN85" s="98"/>
      <c r="AO85" s="38"/>
      <c r="AP85" s="81"/>
      <c r="AQ85" s="14"/>
      <c r="AR85" s="14"/>
      <c r="AS85" s="6"/>
    </row>
    <row r="86">
      <c r="A86" s="7" t="s">
        <v>42</v>
      </c>
      <c r="B86" s="46">
        <v>335000.0</v>
      </c>
      <c r="C86" s="7"/>
      <c r="D86" s="47">
        <v>1.0</v>
      </c>
      <c r="E86" s="7"/>
      <c r="F86" s="7"/>
      <c r="G86" s="47">
        <v>14.0</v>
      </c>
      <c r="H86" s="7"/>
      <c r="I86" s="47">
        <v>8.0</v>
      </c>
      <c r="J86" s="7"/>
      <c r="K86" s="47">
        <v>22.0</v>
      </c>
      <c r="L86" s="7"/>
      <c r="M86" s="47">
        <v>11.0</v>
      </c>
      <c r="N86" s="7"/>
      <c r="O86" s="7"/>
      <c r="P86" s="7"/>
      <c r="Q86" s="47">
        <v>1.0</v>
      </c>
      <c r="R86" s="7"/>
      <c r="S86" s="7"/>
      <c r="T86" s="7"/>
      <c r="U86" s="7"/>
      <c r="V86" s="48">
        <f t="shared" ref="V86:V89" si="36">F86+H86+J86+L86</f>
        <v>0</v>
      </c>
      <c r="W86" s="48">
        <f t="shared" ref="W86:W95" si="37">G86+I86+K86+M86+O86+Q86+S86</f>
        <v>56</v>
      </c>
      <c r="X86" s="48">
        <f t="shared" ref="X86:X89" si="38">V86+W86</f>
        <v>56</v>
      </c>
      <c r="Y86" s="49">
        <f t="shared" ref="Y86:Y89" si="39">B86*X86</f>
        <v>18760000</v>
      </c>
      <c r="Z86" s="12"/>
      <c r="AA86" s="12"/>
      <c r="AB86" s="12"/>
      <c r="AC86" s="37" t="b">
        <v>1</v>
      </c>
      <c r="AD86" s="38"/>
      <c r="AE86" s="34"/>
      <c r="AF86" s="35"/>
      <c r="AG86" s="35"/>
      <c r="AH86" s="35"/>
      <c r="AI86" s="34"/>
      <c r="AJ86" s="34"/>
      <c r="AK86" s="34"/>
      <c r="AL86" s="34"/>
      <c r="AM86" s="34"/>
      <c r="AN86" s="34"/>
      <c r="AO86" s="38"/>
      <c r="AP86" s="81"/>
      <c r="AQ86" s="14"/>
      <c r="AR86" s="14"/>
      <c r="AS86" s="6"/>
    </row>
    <row r="87">
      <c r="A87" s="7" t="s">
        <v>45</v>
      </c>
      <c r="B87" s="13">
        <v>395000.0</v>
      </c>
      <c r="C87" s="6"/>
      <c r="D87" s="47">
        <v>205.0</v>
      </c>
      <c r="E87" s="7"/>
      <c r="F87" s="7"/>
      <c r="G87" s="47">
        <v>18.0</v>
      </c>
      <c r="H87" s="7"/>
      <c r="I87" s="47">
        <v>3.0</v>
      </c>
      <c r="J87" s="7"/>
      <c r="K87" s="7"/>
      <c r="L87" s="7"/>
      <c r="M87" s="47">
        <v>3.0</v>
      </c>
      <c r="N87" s="7"/>
      <c r="O87" s="47">
        <v>7.0</v>
      </c>
      <c r="P87" s="7"/>
      <c r="Q87" s="47">
        <v>3.0</v>
      </c>
      <c r="R87" s="7"/>
      <c r="S87" s="7"/>
      <c r="T87" s="7"/>
      <c r="U87" s="47">
        <v>200.0</v>
      </c>
      <c r="V87" s="48">
        <f t="shared" si="36"/>
        <v>0</v>
      </c>
      <c r="W87" s="48">
        <f t="shared" si="37"/>
        <v>34</v>
      </c>
      <c r="X87" s="48">
        <f t="shared" si="38"/>
        <v>34</v>
      </c>
      <c r="Y87" s="49">
        <f t="shared" si="39"/>
        <v>13430000</v>
      </c>
      <c r="Z87" s="12"/>
      <c r="AA87" s="12"/>
      <c r="AB87" s="12"/>
      <c r="AC87" s="37" t="b">
        <v>1</v>
      </c>
      <c r="AD87" s="38"/>
      <c r="AE87" s="34"/>
      <c r="AF87" s="35"/>
      <c r="AG87" s="35"/>
      <c r="AH87" s="35"/>
      <c r="AI87" s="34"/>
      <c r="AJ87" s="34"/>
      <c r="AK87" s="34"/>
      <c r="AL87" s="34"/>
      <c r="AM87" s="34"/>
      <c r="AN87" s="34"/>
      <c r="AO87" s="38"/>
      <c r="AP87" s="81"/>
      <c r="AQ87" s="14"/>
      <c r="AR87" s="14"/>
      <c r="AS87" s="6"/>
    </row>
    <row r="88">
      <c r="A88" s="7" t="s">
        <v>48</v>
      </c>
      <c r="B88" s="46">
        <v>450000.0</v>
      </c>
      <c r="C88" s="7"/>
      <c r="D88" s="47">
        <v>1.0</v>
      </c>
      <c r="E88" s="7"/>
      <c r="F88" s="7"/>
      <c r="G88" s="47">
        <v>1.0</v>
      </c>
      <c r="H88" s="7"/>
      <c r="I88" s="7"/>
      <c r="J88" s="7"/>
      <c r="K88" s="47">
        <v>3.0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48">
        <f t="shared" si="36"/>
        <v>0</v>
      </c>
      <c r="W88" s="48">
        <f t="shared" si="37"/>
        <v>4</v>
      </c>
      <c r="X88" s="48">
        <f t="shared" si="38"/>
        <v>4</v>
      </c>
      <c r="Y88" s="49">
        <f t="shared" si="39"/>
        <v>1800000</v>
      </c>
      <c r="Z88" s="12"/>
      <c r="AA88" s="12"/>
      <c r="AB88" s="12"/>
      <c r="AC88" s="99" t="b">
        <v>1</v>
      </c>
      <c r="AD88" s="38"/>
      <c r="AE88" s="34"/>
      <c r="AF88" s="35"/>
      <c r="AG88" s="35"/>
      <c r="AH88" s="35"/>
      <c r="AI88" s="34"/>
      <c r="AJ88" s="34"/>
      <c r="AK88" s="34"/>
      <c r="AL88" s="34"/>
      <c r="AM88" s="34"/>
      <c r="AN88" s="34"/>
      <c r="AO88" s="34"/>
      <c r="AP88" s="81"/>
      <c r="AQ88" s="14"/>
      <c r="AR88" s="14"/>
      <c r="AS88" s="6"/>
    </row>
    <row r="89">
      <c r="A89" s="7" t="s">
        <v>50</v>
      </c>
      <c r="B89" s="46">
        <v>575000.0</v>
      </c>
      <c r="C89" s="7"/>
      <c r="D89" s="47">
        <v>1.0</v>
      </c>
      <c r="E89" s="7"/>
      <c r="F89" s="7"/>
      <c r="G89" s="47">
        <v>6.0</v>
      </c>
      <c r="H89" s="7"/>
      <c r="I89" s="7"/>
      <c r="J89" s="7"/>
      <c r="K89" s="7"/>
      <c r="L89" s="7"/>
      <c r="M89" s="47">
        <v>1.0</v>
      </c>
      <c r="N89" s="7"/>
      <c r="O89" s="7"/>
      <c r="P89" s="7"/>
      <c r="Q89" s="7"/>
      <c r="R89" s="7"/>
      <c r="S89" s="7"/>
      <c r="T89" s="7"/>
      <c r="U89" s="7"/>
      <c r="V89" s="48">
        <f t="shared" si="36"/>
        <v>0</v>
      </c>
      <c r="W89" s="48">
        <f t="shared" si="37"/>
        <v>7</v>
      </c>
      <c r="X89" s="48">
        <f t="shared" si="38"/>
        <v>7</v>
      </c>
      <c r="Y89" s="49">
        <f t="shared" si="39"/>
        <v>4025000</v>
      </c>
      <c r="Z89" s="12"/>
      <c r="AA89" s="12"/>
      <c r="AB89" s="12"/>
      <c r="AC89" s="6"/>
      <c r="AD89" s="38"/>
      <c r="AE89" s="8"/>
      <c r="AF89" s="7"/>
      <c r="AG89" s="7"/>
      <c r="AH89" s="7"/>
      <c r="AI89" s="8"/>
      <c r="AJ89" s="8"/>
      <c r="AK89" s="34"/>
      <c r="AL89" s="34"/>
      <c r="AM89" s="34"/>
      <c r="AN89" s="8"/>
      <c r="AO89" s="8"/>
      <c r="AP89" s="81"/>
      <c r="AQ89" s="14"/>
      <c r="AR89" s="14"/>
      <c r="AS89" s="6"/>
    </row>
    <row r="90">
      <c r="A90" s="7" t="s">
        <v>53</v>
      </c>
      <c r="B90" s="53">
        <v>262000.0</v>
      </c>
      <c r="C90" s="7"/>
      <c r="D90" s="47">
        <v>1.0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47">
        <v>1.0</v>
      </c>
      <c r="R90" s="7"/>
      <c r="S90" s="47">
        <v>1.0</v>
      </c>
      <c r="T90" s="7"/>
      <c r="U90" s="7"/>
      <c r="V90" s="54"/>
      <c r="W90" s="48">
        <f t="shared" si="37"/>
        <v>2</v>
      </c>
      <c r="X90" s="54"/>
      <c r="Y90" s="55"/>
      <c r="Z90" s="12"/>
      <c r="AA90" s="12"/>
      <c r="AB90" s="12"/>
      <c r="AC90" s="6"/>
      <c r="AD90" s="38"/>
      <c r="AE90" s="8"/>
      <c r="AF90" s="7"/>
      <c r="AG90" s="7"/>
      <c r="AH90" s="7"/>
      <c r="AI90" s="8"/>
      <c r="AJ90" s="8"/>
      <c r="AK90" s="34"/>
      <c r="AL90" s="34"/>
      <c r="AM90" s="34"/>
      <c r="AN90" s="8"/>
      <c r="AO90" s="8"/>
      <c r="AP90" s="81"/>
      <c r="AQ90" s="14"/>
      <c r="AR90" s="14"/>
      <c r="AS90" s="6"/>
    </row>
    <row r="91">
      <c r="A91" s="7" t="s">
        <v>55</v>
      </c>
      <c r="B91" s="53">
        <v>185000.0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47">
        <v>1.0</v>
      </c>
      <c r="T91" s="7"/>
      <c r="U91" s="7"/>
      <c r="V91" s="54"/>
      <c r="W91" s="48">
        <f t="shared" si="37"/>
        <v>1</v>
      </c>
      <c r="X91" s="54"/>
      <c r="Y91" s="55"/>
      <c r="Z91" s="12"/>
      <c r="AA91" s="12"/>
      <c r="AB91" s="12"/>
      <c r="AC91" s="6"/>
      <c r="AD91" s="38"/>
      <c r="AE91" s="8"/>
      <c r="AF91" s="7"/>
      <c r="AG91" s="7"/>
      <c r="AH91" s="7"/>
      <c r="AI91" s="8"/>
      <c r="AJ91" s="8"/>
      <c r="AK91" s="34"/>
      <c r="AL91" s="34"/>
      <c r="AM91" s="34"/>
      <c r="AN91" s="8"/>
      <c r="AO91" s="8"/>
      <c r="AP91" s="81"/>
      <c r="AQ91" s="14"/>
      <c r="AR91" s="14"/>
      <c r="AS91" s="6"/>
    </row>
    <row r="92">
      <c r="A92" s="7" t="s">
        <v>57</v>
      </c>
      <c r="B92" s="53">
        <v>242000.0</v>
      </c>
      <c r="C92" s="7"/>
      <c r="D92" s="47">
        <v>1.0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47">
        <v>1.0</v>
      </c>
      <c r="R92" s="7"/>
      <c r="S92" s="47">
        <v>1.0</v>
      </c>
      <c r="T92" s="7"/>
      <c r="U92" s="7"/>
      <c r="V92" s="54"/>
      <c r="W92" s="48">
        <f t="shared" si="37"/>
        <v>2</v>
      </c>
      <c r="X92" s="54"/>
      <c r="Y92" s="55"/>
      <c r="Z92" s="12"/>
      <c r="AA92" s="12"/>
      <c r="AB92" s="12"/>
      <c r="AC92" s="6"/>
      <c r="AD92" s="38"/>
      <c r="AE92" s="8"/>
      <c r="AF92" s="7"/>
      <c r="AG92" s="7"/>
      <c r="AH92" s="7"/>
      <c r="AI92" s="8"/>
      <c r="AJ92" s="8"/>
      <c r="AK92" s="34"/>
      <c r="AL92" s="34"/>
      <c r="AM92" s="34"/>
      <c r="AN92" s="8"/>
      <c r="AO92" s="8"/>
      <c r="AP92" s="81"/>
      <c r="AQ92" s="14"/>
      <c r="AR92" s="14"/>
      <c r="AS92" s="6"/>
    </row>
    <row r="93">
      <c r="A93" s="7" t="s">
        <v>60</v>
      </c>
      <c r="B93" s="53">
        <v>202000.0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47">
        <v>1.0</v>
      </c>
      <c r="R93" s="7"/>
      <c r="S93" s="47">
        <v>1.0</v>
      </c>
      <c r="T93" s="7"/>
      <c r="U93" s="7"/>
      <c r="V93" s="54"/>
      <c r="W93" s="48">
        <f t="shared" si="37"/>
        <v>2</v>
      </c>
      <c r="X93" s="54"/>
      <c r="Y93" s="55"/>
      <c r="Z93" s="12"/>
      <c r="AA93" s="12"/>
      <c r="AB93" s="12"/>
      <c r="AC93" s="6"/>
      <c r="AD93" s="38"/>
      <c r="AE93" s="8"/>
      <c r="AF93" s="7"/>
      <c r="AG93" s="7"/>
      <c r="AH93" s="7"/>
      <c r="AI93" s="8"/>
      <c r="AJ93" s="8"/>
      <c r="AK93" s="34"/>
      <c r="AL93" s="34"/>
      <c r="AM93" s="34"/>
      <c r="AN93" s="8"/>
      <c r="AO93" s="8"/>
      <c r="AP93" s="81"/>
      <c r="AQ93" s="14"/>
      <c r="AR93" s="14"/>
      <c r="AS93" s="6"/>
    </row>
    <row r="94">
      <c r="A94" s="7" t="s">
        <v>61</v>
      </c>
      <c r="B94" s="53">
        <v>175000.0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47">
        <v>1.0</v>
      </c>
      <c r="R94" s="7"/>
      <c r="S94" s="47">
        <v>1.0</v>
      </c>
      <c r="T94" s="7"/>
      <c r="U94" s="7"/>
      <c r="V94" s="54"/>
      <c r="W94" s="48">
        <f t="shared" si="37"/>
        <v>2</v>
      </c>
      <c r="X94" s="54"/>
      <c r="Y94" s="55"/>
      <c r="Z94" s="12"/>
      <c r="AA94" s="12"/>
      <c r="AB94" s="12"/>
      <c r="AC94" s="6"/>
      <c r="AD94" s="38"/>
      <c r="AE94" s="8"/>
      <c r="AF94" s="7"/>
      <c r="AG94" s="7"/>
      <c r="AH94" s="7"/>
      <c r="AI94" s="8"/>
      <c r="AJ94" s="8"/>
      <c r="AK94" s="34"/>
      <c r="AL94" s="34"/>
      <c r="AM94" s="34"/>
      <c r="AN94" s="8"/>
      <c r="AO94" s="8"/>
      <c r="AP94" s="81"/>
      <c r="AQ94" s="2"/>
      <c r="AR94" s="2"/>
      <c r="AS94" s="6"/>
    </row>
    <row r="95">
      <c r="A95" s="7" t="s">
        <v>62</v>
      </c>
      <c r="B95" s="53">
        <v>233000.0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54"/>
      <c r="W95" s="48">
        <f t="shared" si="37"/>
        <v>0</v>
      </c>
      <c r="X95" s="54"/>
      <c r="Y95" s="55"/>
      <c r="Z95" s="12"/>
      <c r="AA95" s="12"/>
      <c r="AB95" s="12"/>
      <c r="AC95" s="6"/>
      <c r="AD95" s="38"/>
      <c r="AE95" s="8"/>
      <c r="AF95" s="7"/>
      <c r="AG95" s="7"/>
      <c r="AH95" s="7"/>
      <c r="AI95" s="8"/>
      <c r="AJ95" s="8"/>
      <c r="AK95" s="34"/>
      <c r="AL95" s="34"/>
      <c r="AM95" s="34"/>
      <c r="AN95" s="8"/>
      <c r="AO95" s="8"/>
      <c r="AP95" s="81"/>
      <c r="AQ95" s="2"/>
      <c r="AR95" s="2"/>
      <c r="AS95" s="6"/>
    </row>
    <row r="96">
      <c r="A96" s="7" t="s">
        <v>63</v>
      </c>
      <c r="B96" s="8"/>
      <c r="C96" s="7"/>
      <c r="D96" s="47">
        <f t="shared" ref="D96:W96" si="40">SUM(D86:D95)</f>
        <v>210</v>
      </c>
      <c r="E96" s="47">
        <f t="shared" si="40"/>
        <v>0</v>
      </c>
      <c r="F96" s="47">
        <f t="shared" si="40"/>
        <v>0</v>
      </c>
      <c r="G96" s="47">
        <f t="shared" si="40"/>
        <v>39</v>
      </c>
      <c r="H96" s="47">
        <f t="shared" si="40"/>
        <v>0</v>
      </c>
      <c r="I96" s="47">
        <f t="shared" si="40"/>
        <v>11</v>
      </c>
      <c r="J96" s="47">
        <f t="shared" si="40"/>
        <v>0</v>
      </c>
      <c r="K96" s="47">
        <f t="shared" si="40"/>
        <v>25</v>
      </c>
      <c r="L96" s="47">
        <f t="shared" si="40"/>
        <v>0</v>
      </c>
      <c r="M96" s="47">
        <f t="shared" si="40"/>
        <v>15</v>
      </c>
      <c r="N96" s="47">
        <f t="shared" si="40"/>
        <v>0</v>
      </c>
      <c r="O96" s="47">
        <f t="shared" si="40"/>
        <v>7</v>
      </c>
      <c r="P96" s="47">
        <f t="shared" si="40"/>
        <v>0</v>
      </c>
      <c r="Q96" s="47">
        <f t="shared" si="40"/>
        <v>8</v>
      </c>
      <c r="R96" s="47">
        <f t="shared" si="40"/>
        <v>0</v>
      </c>
      <c r="S96" s="47">
        <f t="shared" si="40"/>
        <v>5</v>
      </c>
      <c r="T96" s="47">
        <f t="shared" si="40"/>
        <v>0</v>
      </c>
      <c r="U96" s="47">
        <f t="shared" si="40"/>
        <v>200</v>
      </c>
      <c r="V96" s="48">
        <f t="shared" si="40"/>
        <v>0</v>
      </c>
      <c r="W96" s="48">
        <f t="shared" si="40"/>
        <v>110</v>
      </c>
      <c r="X96" s="48">
        <f>V96+W96</f>
        <v>110</v>
      </c>
      <c r="Y96" s="49">
        <f>SUM(Y86:Y95)</f>
        <v>38015000</v>
      </c>
      <c r="Z96" s="12"/>
      <c r="AA96" s="12"/>
      <c r="AB96" s="12"/>
      <c r="AC96" s="6"/>
      <c r="AD96" s="38"/>
      <c r="AE96" s="8"/>
      <c r="AF96" s="7"/>
      <c r="AG96" s="7"/>
      <c r="AH96" s="7"/>
      <c r="AI96" s="8"/>
      <c r="AJ96" s="8"/>
      <c r="AK96" s="34"/>
      <c r="AL96" s="34"/>
      <c r="AM96" s="34"/>
      <c r="AN96" s="8"/>
      <c r="AO96" s="8"/>
      <c r="AP96" s="81"/>
      <c r="AQ96" s="2"/>
      <c r="AR96" s="2"/>
      <c r="AS96" s="6"/>
    </row>
    <row r="97">
      <c r="A97" s="7" t="s">
        <v>64</v>
      </c>
      <c r="B97" s="8"/>
      <c r="C97" s="7"/>
      <c r="D97" s="7"/>
      <c r="E97" s="7"/>
      <c r="F97" s="7"/>
      <c r="G97" s="47">
        <f>G96-H96</f>
        <v>39</v>
      </c>
      <c r="H97" s="7"/>
      <c r="I97" s="47">
        <f>I96-J96</f>
        <v>11</v>
      </c>
      <c r="J97" s="7"/>
      <c r="K97" s="47">
        <f>K96-L96</f>
        <v>25</v>
      </c>
      <c r="L97" s="7"/>
      <c r="M97" s="47">
        <f>M96-N96</f>
        <v>15</v>
      </c>
      <c r="N97" s="7"/>
      <c r="O97" s="47">
        <f>O96-P96</f>
        <v>7</v>
      </c>
      <c r="P97" s="7"/>
      <c r="Q97" s="47">
        <f>Q96-R96</f>
        <v>8</v>
      </c>
      <c r="R97" s="7"/>
      <c r="S97" s="47">
        <f>S96-T96</f>
        <v>5</v>
      </c>
      <c r="T97" s="7"/>
      <c r="U97" s="7"/>
      <c r="V97" s="54"/>
      <c r="W97" s="54"/>
      <c r="X97" s="48">
        <f t="shared" ref="X97:Y97" si="41">sum(X86:X96)</f>
        <v>211</v>
      </c>
      <c r="Y97" s="49">
        <f t="shared" si="41"/>
        <v>76030000</v>
      </c>
      <c r="Z97" s="12"/>
      <c r="AA97" s="12"/>
      <c r="AB97" s="12"/>
      <c r="AC97" s="6"/>
      <c r="AD97" s="38"/>
      <c r="AE97" s="8"/>
      <c r="AF97" s="7"/>
      <c r="AG97" s="7"/>
      <c r="AH97" s="7"/>
      <c r="AI97" s="8"/>
      <c r="AJ97" s="8"/>
      <c r="AK97" s="34"/>
      <c r="AL97" s="34"/>
      <c r="AM97" s="34"/>
      <c r="AN97" s="8"/>
      <c r="AO97" s="8"/>
      <c r="AP97" s="81"/>
      <c r="AQ97" s="2"/>
      <c r="AR97" s="2"/>
      <c r="AS97" s="6"/>
    </row>
    <row r="98">
      <c r="A98" s="6"/>
      <c r="B98" s="14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12"/>
      <c r="AA98" s="12"/>
      <c r="AB98" s="12"/>
      <c r="AC98" s="6"/>
      <c r="AD98" s="38"/>
      <c r="AE98" s="8"/>
      <c r="AF98" s="7"/>
      <c r="AG98" s="7"/>
      <c r="AH98" s="7"/>
      <c r="AI98" s="8"/>
      <c r="AJ98" s="8"/>
      <c r="AK98" s="34"/>
      <c r="AL98" s="34"/>
      <c r="AM98" s="34"/>
      <c r="AN98" s="8"/>
      <c r="AO98" s="8"/>
      <c r="AP98" s="81"/>
      <c r="AQ98" s="2"/>
      <c r="AR98" s="2"/>
      <c r="AS98" s="6"/>
    </row>
    <row r="99">
      <c r="A99" s="6"/>
      <c r="B99" s="14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12"/>
      <c r="AA99" s="12"/>
      <c r="AB99" s="12"/>
      <c r="AC99" s="6"/>
      <c r="AD99" s="38"/>
      <c r="AE99" s="8"/>
      <c r="AF99" s="7"/>
      <c r="AG99" s="7"/>
      <c r="AH99" s="7"/>
      <c r="AI99" s="8"/>
      <c r="AJ99" s="8"/>
      <c r="AK99" s="34"/>
      <c r="AL99" s="34"/>
      <c r="AM99" s="34"/>
      <c r="AN99" s="8"/>
      <c r="AO99" s="8"/>
      <c r="AP99" s="81"/>
      <c r="AQ99" s="2"/>
      <c r="AR99" s="2"/>
      <c r="AS99" s="6"/>
    </row>
    <row r="100">
      <c r="A100" s="7"/>
      <c r="B100" s="8"/>
      <c r="C100" s="7"/>
      <c r="D100" s="9">
        <v>45998.0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  <c r="X100" s="6"/>
      <c r="Y100" s="6"/>
      <c r="Z100" s="12"/>
      <c r="AA100" s="12"/>
      <c r="AB100" s="12"/>
      <c r="AC100" s="6"/>
      <c r="AD100" s="38"/>
      <c r="AE100" s="8"/>
      <c r="AF100" s="7"/>
      <c r="AG100" s="7"/>
      <c r="AH100" s="7"/>
      <c r="AI100" s="8"/>
      <c r="AJ100" s="8"/>
      <c r="AK100" s="34"/>
      <c r="AL100" s="34"/>
      <c r="AM100" s="34"/>
      <c r="AN100" s="8"/>
      <c r="AO100" s="8"/>
      <c r="AP100" s="81"/>
      <c r="AQ100" s="2"/>
      <c r="AR100" s="2"/>
      <c r="AS100" s="6"/>
    </row>
    <row r="101">
      <c r="A101" s="70" t="s">
        <v>6</v>
      </c>
      <c r="B101" s="34" t="b">
        <v>0</v>
      </c>
      <c r="C101" s="7"/>
      <c r="D101" s="71" t="s">
        <v>7</v>
      </c>
      <c r="E101" s="11"/>
      <c r="F101" s="7"/>
      <c r="G101" s="71" t="s">
        <v>8</v>
      </c>
      <c r="H101" s="11"/>
      <c r="I101" s="71" t="s">
        <v>9</v>
      </c>
      <c r="J101" s="11"/>
      <c r="K101" s="72" t="s">
        <v>10</v>
      </c>
      <c r="L101" s="11"/>
      <c r="M101" s="71" t="s">
        <v>11</v>
      </c>
      <c r="N101" s="11"/>
      <c r="O101" s="71" t="s">
        <v>12</v>
      </c>
      <c r="P101" s="11"/>
      <c r="Q101" s="71" t="s">
        <v>13</v>
      </c>
      <c r="R101" s="11"/>
      <c r="S101" s="71" t="s">
        <v>14</v>
      </c>
      <c r="T101" s="11"/>
      <c r="U101" s="35" t="s">
        <v>15</v>
      </c>
      <c r="V101" s="73" t="s">
        <v>16</v>
      </c>
      <c r="W101" s="10"/>
      <c r="X101" s="10"/>
      <c r="Y101" s="11"/>
      <c r="Z101" s="12"/>
      <c r="AA101" s="12"/>
      <c r="AB101" s="12"/>
      <c r="AC101" s="6"/>
      <c r="AD101" s="38"/>
      <c r="AE101" s="8"/>
      <c r="AF101" s="7"/>
      <c r="AG101" s="7"/>
      <c r="AH101" s="7"/>
      <c r="AI101" s="8"/>
      <c r="AJ101" s="8"/>
      <c r="AK101" s="34"/>
      <c r="AL101" s="34"/>
      <c r="AM101" s="34"/>
      <c r="AN101" s="8"/>
      <c r="AO101" s="8"/>
      <c r="AP101" s="81"/>
      <c r="AQ101" s="2"/>
      <c r="AR101" s="2"/>
      <c r="AS101" s="6"/>
    </row>
    <row r="102">
      <c r="A102" s="7"/>
      <c r="B102" s="34" t="s">
        <v>28</v>
      </c>
      <c r="C102" s="35" t="s">
        <v>29</v>
      </c>
      <c r="D102" s="35" t="s">
        <v>30</v>
      </c>
      <c r="E102" s="35" t="s">
        <v>31</v>
      </c>
      <c r="F102" s="35" t="s">
        <v>32</v>
      </c>
      <c r="G102" s="35" t="s">
        <v>33</v>
      </c>
      <c r="H102" s="35" t="s">
        <v>31</v>
      </c>
      <c r="I102" s="35" t="s">
        <v>33</v>
      </c>
      <c r="J102" s="35" t="s">
        <v>31</v>
      </c>
      <c r="K102" s="35" t="s">
        <v>33</v>
      </c>
      <c r="L102" s="35" t="s">
        <v>31</v>
      </c>
      <c r="M102" s="35" t="s">
        <v>33</v>
      </c>
      <c r="N102" s="35" t="s">
        <v>31</v>
      </c>
      <c r="O102" s="35" t="s">
        <v>33</v>
      </c>
      <c r="P102" s="35" t="s">
        <v>31</v>
      </c>
      <c r="Q102" s="35" t="s">
        <v>33</v>
      </c>
      <c r="R102" s="35" t="s">
        <v>31</v>
      </c>
      <c r="S102" s="35" t="s">
        <v>33</v>
      </c>
      <c r="T102" s="35" t="s">
        <v>31</v>
      </c>
      <c r="U102" s="35" t="s">
        <v>34</v>
      </c>
      <c r="V102" s="36" t="s">
        <v>7</v>
      </c>
      <c r="W102" s="36" t="s">
        <v>35</v>
      </c>
      <c r="X102" s="36" t="s">
        <v>36</v>
      </c>
      <c r="Y102" s="36" t="s">
        <v>37</v>
      </c>
      <c r="Z102" s="12"/>
      <c r="AA102" s="12"/>
      <c r="AB102" s="12"/>
      <c r="AC102" s="6"/>
      <c r="AD102" s="38"/>
      <c r="AE102" s="8"/>
      <c r="AF102" s="7"/>
      <c r="AG102" s="7"/>
      <c r="AH102" s="7"/>
      <c r="AI102" s="8"/>
      <c r="AJ102" s="8"/>
      <c r="AK102" s="34"/>
      <c r="AL102" s="34"/>
      <c r="AM102" s="34"/>
      <c r="AN102" s="8"/>
      <c r="AO102" s="8"/>
      <c r="AP102" s="81"/>
      <c r="AQ102" s="2"/>
      <c r="AR102" s="2"/>
      <c r="AS102" s="6"/>
    </row>
    <row r="103">
      <c r="A103" s="7" t="s">
        <v>42</v>
      </c>
      <c r="B103" s="46">
        <v>335000.0</v>
      </c>
      <c r="C103" s="7"/>
      <c r="D103" s="47">
        <v>1.0</v>
      </c>
      <c r="E103" s="7"/>
      <c r="F103" s="7"/>
      <c r="G103" s="47">
        <v>14.0</v>
      </c>
      <c r="H103" s="7"/>
      <c r="I103" s="47">
        <v>8.0</v>
      </c>
      <c r="J103" s="7"/>
      <c r="K103" s="47">
        <v>22.0</v>
      </c>
      <c r="L103" s="7"/>
      <c r="M103" s="47">
        <v>11.0</v>
      </c>
      <c r="N103" s="7"/>
      <c r="O103" s="7"/>
      <c r="P103" s="7"/>
      <c r="Q103" s="47">
        <v>1.0</v>
      </c>
      <c r="R103" s="7"/>
      <c r="S103" s="7"/>
      <c r="T103" s="7"/>
      <c r="U103" s="7"/>
      <c r="V103" s="48">
        <f t="shared" ref="V103:V106" si="42">F103+H103+J103+L103</f>
        <v>0</v>
      </c>
      <c r="W103" s="48">
        <f t="shared" ref="W103:W112" si="43">G103+I103+K103+M103+O103+Q103+S103</f>
        <v>56</v>
      </c>
      <c r="X103" s="48">
        <f t="shared" ref="X103:X106" si="44">V103+W103</f>
        <v>56</v>
      </c>
      <c r="Y103" s="49">
        <f t="shared" ref="Y103:Y106" si="45">B103*X103</f>
        <v>18760000</v>
      </c>
      <c r="Z103" s="12"/>
      <c r="AA103" s="12"/>
      <c r="AB103" s="12"/>
      <c r="AC103" s="6"/>
      <c r="AD103" s="38"/>
      <c r="AE103" s="8"/>
      <c r="AF103" s="7"/>
      <c r="AG103" s="7"/>
      <c r="AH103" s="7"/>
      <c r="AI103" s="8"/>
      <c r="AJ103" s="8"/>
      <c r="AK103" s="34"/>
      <c r="AL103" s="34"/>
      <c r="AM103" s="34"/>
      <c r="AN103" s="8"/>
      <c r="AO103" s="8"/>
      <c r="AP103" s="81"/>
      <c r="AQ103" s="2"/>
      <c r="AR103" s="2"/>
      <c r="AS103" s="6"/>
    </row>
    <row r="104">
      <c r="A104" s="7" t="s">
        <v>45</v>
      </c>
      <c r="B104" s="13">
        <v>395000.0</v>
      </c>
      <c r="C104" s="6"/>
      <c r="D104" s="47">
        <v>5.0</v>
      </c>
      <c r="E104" s="7"/>
      <c r="F104" s="7"/>
      <c r="G104" s="47">
        <v>18.0</v>
      </c>
      <c r="H104" s="7"/>
      <c r="I104" s="47">
        <v>3.0</v>
      </c>
      <c r="J104" s="7"/>
      <c r="K104" s="7"/>
      <c r="L104" s="7"/>
      <c r="M104" s="47">
        <v>3.0</v>
      </c>
      <c r="N104" s="7"/>
      <c r="O104" s="47">
        <v>7.0</v>
      </c>
      <c r="P104" s="7"/>
      <c r="Q104" s="47">
        <v>3.0</v>
      </c>
      <c r="R104" s="7"/>
      <c r="S104" s="7"/>
      <c r="T104" s="7"/>
      <c r="U104" s="7"/>
      <c r="V104" s="48">
        <f t="shared" si="42"/>
        <v>0</v>
      </c>
      <c r="W104" s="48">
        <f t="shared" si="43"/>
        <v>34</v>
      </c>
      <c r="X104" s="48">
        <f t="shared" si="44"/>
        <v>34</v>
      </c>
      <c r="Y104" s="49">
        <f t="shared" si="45"/>
        <v>13430000</v>
      </c>
      <c r="Z104" s="12"/>
      <c r="AA104" s="12"/>
      <c r="AB104" s="12"/>
      <c r="AC104" s="6"/>
      <c r="AD104" s="38"/>
      <c r="AE104" s="8"/>
      <c r="AF104" s="7"/>
      <c r="AG104" s="7"/>
      <c r="AH104" s="7"/>
      <c r="AI104" s="8"/>
      <c r="AJ104" s="8"/>
      <c r="AK104" s="34"/>
      <c r="AL104" s="34"/>
      <c r="AM104" s="34"/>
      <c r="AN104" s="8"/>
      <c r="AO104" s="8"/>
      <c r="AP104" s="81"/>
      <c r="AQ104" s="2"/>
      <c r="AR104" s="2"/>
      <c r="AS104" s="6"/>
    </row>
    <row r="105">
      <c r="A105" s="7" t="s">
        <v>48</v>
      </c>
      <c r="B105" s="46">
        <v>450000.0</v>
      </c>
      <c r="C105" s="7"/>
      <c r="D105" s="47">
        <v>1.0</v>
      </c>
      <c r="E105" s="7"/>
      <c r="F105" s="7"/>
      <c r="G105" s="47">
        <v>1.0</v>
      </c>
      <c r="H105" s="7"/>
      <c r="I105" s="7"/>
      <c r="J105" s="7"/>
      <c r="K105" s="47">
        <v>3.0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48">
        <f t="shared" si="42"/>
        <v>0</v>
      </c>
      <c r="W105" s="48">
        <f t="shared" si="43"/>
        <v>4</v>
      </c>
      <c r="X105" s="48">
        <f t="shared" si="44"/>
        <v>4</v>
      </c>
      <c r="Y105" s="49">
        <f t="shared" si="45"/>
        <v>1800000</v>
      </c>
      <c r="Z105" s="12"/>
      <c r="AA105" s="12"/>
      <c r="AB105" s="12"/>
      <c r="AC105" s="6"/>
      <c r="AD105" s="38"/>
      <c r="AE105" s="8"/>
      <c r="AF105" s="7"/>
      <c r="AG105" s="7"/>
      <c r="AH105" s="7"/>
      <c r="AI105" s="8"/>
      <c r="AJ105" s="8"/>
      <c r="AK105" s="34"/>
      <c r="AL105" s="34"/>
      <c r="AM105" s="34"/>
      <c r="AN105" s="8"/>
      <c r="AO105" s="8"/>
      <c r="AP105" s="81"/>
      <c r="AQ105" s="2"/>
      <c r="AR105" s="2"/>
      <c r="AS105" s="6"/>
    </row>
    <row r="106">
      <c r="A106" s="7" t="s">
        <v>50</v>
      </c>
      <c r="B106" s="46">
        <v>575000.0</v>
      </c>
      <c r="C106" s="7"/>
      <c r="D106" s="47">
        <v>1.0</v>
      </c>
      <c r="E106" s="7"/>
      <c r="F106" s="7"/>
      <c r="G106" s="47">
        <v>6.0</v>
      </c>
      <c r="H106" s="7"/>
      <c r="I106" s="7"/>
      <c r="J106" s="7"/>
      <c r="K106" s="7"/>
      <c r="L106" s="7"/>
      <c r="M106" s="47">
        <v>1.0</v>
      </c>
      <c r="N106" s="7"/>
      <c r="O106" s="7"/>
      <c r="P106" s="7"/>
      <c r="Q106" s="7"/>
      <c r="R106" s="7"/>
      <c r="S106" s="7"/>
      <c r="T106" s="7"/>
      <c r="U106" s="7"/>
      <c r="V106" s="48">
        <f t="shared" si="42"/>
        <v>0</v>
      </c>
      <c r="W106" s="48">
        <f t="shared" si="43"/>
        <v>7</v>
      </c>
      <c r="X106" s="48">
        <f t="shared" si="44"/>
        <v>7</v>
      </c>
      <c r="Y106" s="49">
        <f t="shared" si="45"/>
        <v>4025000</v>
      </c>
      <c r="Z106" s="12"/>
      <c r="AA106" s="12"/>
      <c r="AB106" s="12"/>
      <c r="AC106" s="6"/>
      <c r="AD106" s="38"/>
      <c r="AE106" s="8"/>
      <c r="AF106" s="7"/>
      <c r="AG106" s="7"/>
      <c r="AH106" s="7"/>
      <c r="AI106" s="8"/>
      <c r="AJ106" s="8"/>
      <c r="AK106" s="34"/>
      <c r="AL106" s="34"/>
      <c r="AM106" s="34"/>
      <c r="AN106" s="8"/>
      <c r="AO106" s="8"/>
      <c r="AP106" s="81"/>
      <c r="AQ106" s="2"/>
      <c r="AR106" s="2"/>
      <c r="AS106" s="6"/>
    </row>
    <row r="107">
      <c r="A107" s="7" t="s">
        <v>53</v>
      </c>
      <c r="B107" s="53">
        <v>262000.0</v>
      </c>
      <c r="C107" s="7"/>
      <c r="D107" s="47">
        <v>1.0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47">
        <v>1.0</v>
      </c>
      <c r="R107" s="7"/>
      <c r="S107" s="47">
        <v>1.0</v>
      </c>
      <c r="T107" s="7"/>
      <c r="U107" s="7"/>
      <c r="V107" s="54"/>
      <c r="W107" s="48">
        <f t="shared" si="43"/>
        <v>2</v>
      </c>
      <c r="X107" s="54"/>
      <c r="Y107" s="55"/>
      <c r="Z107" s="12"/>
      <c r="AA107" s="12"/>
      <c r="AB107" s="12"/>
      <c r="AC107" s="6"/>
      <c r="AD107" s="38"/>
      <c r="AE107" s="8"/>
      <c r="AF107" s="7"/>
      <c r="AG107" s="7"/>
      <c r="AH107" s="7"/>
      <c r="AI107" s="8"/>
      <c r="AJ107" s="8"/>
      <c r="AK107" s="34"/>
      <c r="AL107" s="34"/>
      <c r="AM107" s="34"/>
      <c r="AN107" s="8"/>
      <c r="AO107" s="8"/>
      <c r="AP107" s="81"/>
      <c r="AQ107" s="2"/>
      <c r="AR107" s="2"/>
      <c r="AS107" s="6"/>
    </row>
    <row r="108">
      <c r="A108" s="7" t="s">
        <v>55</v>
      </c>
      <c r="B108" s="53">
        <v>185000.0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47">
        <v>1.0</v>
      </c>
      <c r="T108" s="7"/>
      <c r="U108" s="7"/>
      <c r="V108" s="54"/>
      <c r="W108" s="48">
        <f t="shared" si="43"/>
        <v>1</v>
      </c>
      <c r="X108" s="54"/>
      <c r="Y108" s="55"/>
      <c r="Z108" s="12"/>
      <c r="AA108" s="12"/>
      <c r="AB108" s="12"/>
      <c r="AC108" s="6"/>
      <c r="AD108" s="38"/>
      <c r="AE108" s="8"/>
      <c r="AF108" s="7"/>
      <c r="AG108" s="7"/>
      <c r="AH108" s="7"/>
      <c r="AI108" s="8"/>
      <c r="AJ108" s="8"/>
      <c r="AK108" s="34"/>
      <c r="AL108" s="34"/>
      <c r="AM108" s="34"/>
      <c r="AN108" s="8"/>
      <c r="AO108" s="8"/>
      <c r="AP108" s="81"/>
      <c r="AQ108" s="2"/>
      <c r="AR108" s="2"/>
      <c r="AS108" s="6"/>
    </row>
    <row r="109">
      <c r="A109" s="7" t="s">
        <v>57</v>
      </c>
      <c r="B109" s="53">
        <v>242000.0</v>
      </c>
      <c r="C109" s="7"/>
      <c r="D109" s="47">
        <v>1.0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47">
        <v>1.0</v>
      </c>
      <c r="R109" s="7"/>
      <c r="S109" s="47">
        <v>1.0</v>
      </c>
      <c r="T109" s="7"/>
      <c r="U109" s="7"/>
      <c r="V109" s="54"/>
      <c r="W109" s="48">
        <f t="shared" si="43"/>
        <v>2</v>
      </c>
      <c r="X109" s="54"/>
      <c r="Y109" s="55"/>
      <c r="Z109" s="12"/>
      <c r="AA109" s="12"/>
      <c r="AB109" s="12"/>
      <c r="AC109" s="6"/>
      <c r="AD109" s="38"/>
      <c r="AE109" s="8"/>
      <c r="AF109" s="7"/>
      <c r="AG109" s="7"/>
      <c r="AH109" s="7"/>
      <c r="AI109" s="8"/>
      <c r="AJ109" s="8"/>
      <c r="AK109" s="34"/>
      <c r="AL109" s="34"/>
      <c r="AM109" s="34"/>
      <c r="AN109" s="8"/>
      <c r="AO109" s="8"/>
      <c r="AP109" s="81"/>
      <c r="AQ109" s="2"/>
      <c r="AR109" s="2"/>
      <c r="AS109" s="6"/>
    </row>
    <row r="110">
      <c r="A110" s="7" t="s">
        <v>60</v>
      </c>
      <c r="B110" s="53">
        <v>202000.0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47">
        <v>1.0</v>
      </c>
      <c r="R110" s="7"/>
      <c r="S110" s="47">
        <v>1.0</v>
      </c>
      <c r="T110" s="7"/>
      <c r="U110" s="7"/>
      <c r="V110" s="54"/>
      <c r="W110" s="48">
        <f t="shared" si="43"/>
        <v>2</v>
      </c>
      <c r="X110" s="54"/>
      <c r="Y110" s="55"/>
      <c r="Z110" s="12"/>
      <c r="AA110" s="12"/>
      <c r="AB110" s="12"/>
      <c r="AC110" s="6"/>
      <c r="AD110" s="38"/>
      <c r="AE110" s="8"/>
      <c r="AF110" s="7"/>
      <c r="AG110" s="7"/>
      <c r="AH110" s="7"/>
      <c r="AI110" s="8"/>
      <c r="AJ110" s="8"/>
      <c r="AK110" s="34"/>
      <c r="AL110" s="34"/>
      <c r="AM110" s="34"/>
      <c r="AN110" s="8"/>
      <c r="AO110" s="8"/>
      <c r="AP110" s="81"/>
      <c r="AQ110" s="2"/>
      <c r="AR110" s="2"/>
      <c r="AS110" s="6"/>
    </row>
    <row r="111">
      <c r="A111" s="7" t="s">
        <v>61</v>
      </c>
      <c r="B111" s="53">
        <v>175000.0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47">
        <v>1.0</v>
      </c>
      <c r="R111" s="7"/>
      <c r="S111" s="47">
        <v>1.0</v>
      </c>
      <c r="T111" s="7"/>
      <c r="U111" s="7"/>
      <c r="V111" s="54"/>
      <c r="W111" s="48">
        <f t="shared" si="43"/>
        <v>2</v>
      </c>
      <c r="X111" s="54"/>
      <c r="Y111" s="55"/>
      <c r="Z111" s="12"/>
      <c r="AA111" s="12"/>
      <c r="AB111" s="12"/>
      <c r="AC111" s="6"/>
      <c r="AD111" s="38"/>
      <c r="AE111" s="8"/>
      <c r="AF111" s="7"/>
      <c r="AG111" s="7"/>
      <c r="AH111" s="7"/>
      <c r="AI111" s="8"/>
      <c r="AJ111" s="8"/>
      <c r="AK111" s="34"/>
      <c r="AL111" s="34"/>
      <c r="AM111" s="34"/>
      <c r="AN111" s="8"/>
      <c r="AO111" s="8"/>
      <c r="AP111" s="81"/>
      <c r="AQ111" s="2"/>
      <c r="AR111" s="2"/>
      <c r="AS111" s="6"/>
    </row>
    <row r="112">
      <c r="A112" s="7" t="s">
        <v>62</v>
      </c>
      <c r="B112" s="53">
        <v>233000.0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54"/>
      <c r="W112" s="48">
        <f t="shared" si="43"/>
        <v>0</v>
      </c>
      <c r="X112" s="54"/>
      <c r="Y112" s="55"/>
      <c r="Z112" s="12"/>
      <c r="AA112" s="12"/>
      <c r="AB112" s="12"/>
      <c r="AC112" s="6"/>
      <c r="AD112" s="38"/>
      <c r="AE112" s="8"/>
      <c r="AF112" s="7"/>
      <c r="AG112" s="7"/>
      <c r="AH112" s="7"/>
      <c r="AI112" s="8"/>
      <c r="AJ112" s="8"/>
      <c r="AK112" s="34"/>
      <c r="AL112" s="34"/>
      <c r="AM112" s="34"/>
      <c r="AN112" s="8"/>
      <c r="AO112" s="8"/>
      <c r="AP112" s="81"/>
      <c r="AQ112" s="2"/>
      <c r="AR112" s="2"/>
      <c r="AS112" s="6"/>
    </row>
    <row r="113">
      <c r="A113" s="7" t="s">
        <v>63</v>
      </c>
      <c r="B113" s="8"/>
      <c r="C113" s="7"/>
      <c r="D113" s="47">
        <f>SUM(D103:D112)</f>
        <v>10</v>
      </c>
      <c r="E113" s="47">
        <f t="shared" ref="E113:W113" si="46">SUM(E103:E106)</f>
        <v>0</v>
      </c>
      <c r="F113" s="47">
        <f t="shared" si="46"/>
        <v>0</v>
      </c>
      <c r="G113" s="47">
        <f t="shared" si="46"/>
        <v>39</v>
      </c>
      <c r="H113" s="47">
        <f t="shared" si="46"/>
        <v>0</v>
      </c>
      <c r="I113" s="47">
        <f t="shared" si="46"/>
        <v>11</v>
      </c>
      <c r="J113" s="47">
        <f t="shared" si="46"/>
        <v>0</v>
      </c>
      <c r="K113" s="47">
        <f t="shared" si="46"/>
        <v>25</v>
      </c>
      <c r="L113" s="47">
        <f t="shared" si="46"/>
        <v>0</v>
      </c>
      <c r="M113" s="47">
        <f t="shared" si="46"/>
        <v>15</v>
      </c>
      <c r="N113" s="47">
        <f t="shared" si="46"/>
        <v>0</v>
      </c>
      <c r="O113" s="47">
        <f t="shared" si="46"/>
        <v>7</v>
      </c>
      <c r="P113" s="47">
        <f t="shared" si="46"/>
        <v>0</v>
      </c>
      <c r="Q113" s="47">
        <f t="shared" si="46"/>
        <v>4</v>
      </c>
      <c r="R113" s="47">
        <f t="shared" si="46"/>
        <v>0</v>
      </c>
      <c r="S113" s="47">
        <f t="shared" si="46"/>
        <v>0</v>
      </c>
      <c r="T113" s="47">
        <f t="shared" si="46"/>
        <v>0</v>
      </c>
      <c r="U113" s="47">
        <f t="shared" si="46"/>
        <v>0</v>
      </c>
      <c r="V113" s="48">
        <f t="shared" si="46"/>
        <v>0</v>
      </c>
      <c r="W113" s="48">
        <f t="shared" si="46"/>
        <v>101</v>
      </c>
      <c r="X113" s="48">
        <f>V113+W113</f>
        <v>101</v>
      </c>
      <c r="Y113" s="49">
        <f>B113*X113</f>
        <v>0</v>
      </c>
      <c r="Z113" s="4"/>
      <c r="AA113" s="4"/>
      <c r="AB113" s="4"/>
      <c r="AC113" s="3"/>
      <c r="AD113" s="38"/>
      <c r="AE113" s="8"/>
      <c r="AF113" s="7"/>
      <c r="AG113" s="7"/>
      <c r="AH113" s="7"/>
      <c r="AI113" s="8"/>
      <c r="AJ113" s="8"/>
      <c r="AK113" s="34"/>
      <c r="AL113" s="34"/>
      <c r="AM113" s="34"/>
      <c r="AN113" s="8"/>
      <c r="AO113" s="8"/>
      <c r="AP113" s="81"/>
      <c r="AQ113" s="2"/>
      <c r="AR113" s="2"/>
      <c r="AS113" s="6"/>
    </row>
    <row r="114">
      <c r="A114" s="7" t="s">
        <v>64</v>
      </c>
      <c r="B114" s="8"/>
      <c r="C114" s="7"/>
      <c r="D114" s="7"/>
      <c r="E114" s="7"/>
      <c r="F114" s="7"/>
      <c r="G114" s="47">
        <f>G113-H113</f>
        <v>39</v>
      </c>
      <c r="H114" s="7"/>
      <c r="I114" s="47">
        <f>I113-J113</f>
        <v>11</v>
      </c>
      <c r="J114" s="7"/>
      <c r="K114" s="47">
        <f>K113-L113</f>
        <v>25</v>
      </c>
      <c r="L114" s="7"/>
      <c r="M114" s="47">
        <f>M113-N113</f>
        <v>15</v>
      </c>
      <c r="N114" s="7"/>
      <c r="O114" s="47">
        <f>O113-P113</f>
        <v>7</v>
      </c>
      <c r="P114" s="7"/>
      <c r="Q114" s="47">
        <f>Q113-R113</f>
        <v>4</v>
      </c>
      <c r="R114" s="7"/>
      <c r="S114" s="47">
        <f>S113-T113</f>
        <v>0</v>
      </c>
      <c r="T114" s="7"/>
      <c r="U114" s="7"/>
      <c r="V114" s="54"/>
      <c r="W114" s="54"/>
      <c r="X114" s="48">
        <f t="shared" ref="X114:Y114" si="47">sum(X103:X113)</f>
        <v>202</v>
      </c>
      <c r="Y114" s="49">
        <f t="shared" si="47"/>
        <v>38015000</v>
      </c>
      <c r="Z114" s="4"/>
      <c r="AA114" s="4"/>
      <c r="AB114" s="4"/>
      <c r="AC114" s="3"/>
      <c r="AD114" s="7"/>
      <c r="AE114" s="8"/>
      <c r="AF114" s="7"/>
      <c r="AG114" s="7"/>
      <c r="AH114" s="7"/>
      <c r="AI114" s="8"/>
      <c r="AJ114" s="8"/>
      <c r="AK114" s="34"/>
      <c r="AL114" s="34"/>
      <c r="AM114" s="34"/>
      <c r="AN114" s="8"/>
      <c r="AO114" s="8"/>
      <c r="AP114" s="81"/>
      <c r="AQ114" s="2"/>
      <c r="AR114" s="2"/>
      <c r="AS114" s="6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  <c r="AA115" s="4"/>
      <c r="AB115" s="4"/>
      <c r="AC115" s="3"/>
      <c r="AD115" s="52"/>
      <c r="AE115" s="8"/>
      <c r="AF115" s="7"/>
      <c r="AG115" s="7"/>
      <c r="AH115" s="7"/>
      <c r="AI115" s="8"/>
      <c r="AJ115" s="8"/>
      <c r="AK115" s="34"/>
      <c r="AL115" s="34"/>
      <c r="AM115" s="34"/>
      <c r="AN115" s="8"/>
      <c r="AO115" s="8"/>
      <c r="AP115" s="81"/>
      <c r="AQ115" s="2"/>
      <c r="AR115" s="2"/>
      <c r="AS115" s="3"/>
    </row>
    <row r="116">
      <c r="A116" s="7"/>
      <c r="B116" s="8"/>
      <c r="C116" s="7"/>
      <c r="D116" s="9">
        <v>45999.0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  <c r="X116" s="6"/>
      <c r="Y116" s="6"/>
      <c r="Z116" s="4"/>
      <c r="AA116" s="4"/>
      <c r="AB116" s="4"/>
      <c r="AC116" s="3"/>
      <c r="AD116" s="76" t="s">
        <v>63</v>
      </c>
      <c r="AE116" s="75"/>
      <c r="AF116" s="57"/>
      <c r="AG116" s="57"/>
      <c r="AH116" s="76">
        <f t="shared" ref="AH116:AP116" si="48">SUM(AH68:AH115)</f>
        <v>1</v>
      </c>
      <c r="AI116" s="98">
        <f t="shared" si="48"/>
        <v>190000</v>
      </c>
      <c r="AJ116" s="98">
        <f t="shared" si="48"/>
        <v>335000</v>
      </c>
      <c r="AK116" s="98">
        <f t="shared" si="48"/>
        <v>190000</v>
      </c>
      <c r="AL116" s="98">
        <f t="shared" si="48"/>
        <v>335000</v>
      </c>
      <c r="AM116" s="98">
        <f t="shared" si="48"/>
        <v>145000</v>
      </c>
      <c r="AN116" s="98">
        <f t="shared" si="48"/>
        <v>60000</v>
      </c>
      <c r="AO116" s="78">
        <f t="shared" si="48"/>
        <v>45992</v>
      </c>
      <c r="AP116" s="76" t="str">
        <f t="shared" si="48"/>
        <v>#REF!</v>
      </c>
      <c r="AQ116" s="2"/>
      <c r="AR116" s="2"/>
      <c r="AS116" s="3"/>
    </row>
    <row r="117">
      <c r="A117" s="70" t="s">
        <v>6</v>
      </c>
      <c r="B117" s="34" t="b">
        <v>0</v>
      </c>
      <c r="C117" s="7"/>
      <c r="D117" s="71" t="s">
        <v>7</v>
      </c>
      <c r="E117" s="11"/>
      <c r="F117" s="7"/>
      <c r="G117" s="71" t="s">
        <v>8</v>
      </c>
      <c r="H117" s="11"/>
      <c r="I117" s="71" t="s">
        <v>9</v>
      </c>
      <c r="J117" s="11"/>
      <c r="K117" s="72" t="s">
        <v>10</v>
      </c>
      <c r="L117" s="11"/>
      <c r="M117" s="71" t="s">
        <v>11</v>
      </c>
      <c r="N117" s="11"/>
      <c r="O117" s="71" t="s">
        <v>12</v>
      </c>
      <c r="P117" s="11"/>
      <c r="Q117" s="71" t="s">
        <v>13</v>
      </c>
      <c r="R117" s="11"/>
      <c r="S117" s="71" t="s">
        <v>14</v>
      </c>
      <c r="T117" s="11"/>
      <c r="U117" s="35" t="s">
        <v>15</v>
      </c>
      <c r="V117" s="73" t="s">
        <v>16</v>
      </c>
      <c r="W117" s="10"/>
      <c r="X117" s="10"/>
      <c r="Y117" s="11"/>
      <c r="Z117" s="4"/>
      <c r="AA117" s="4"/>
      <c r="AB117" s="4"/>
      <c r="AC117" s="3"/>
      <c r="AD117" s="3"/>
      <c r="AE117" s="2"/>
      <c r="AF117" s="3"/>
      <c r="AG117" s="3"/>
      <c r="AH117" s="3"/>
      <c r="AI117" s="3"/>
      <c r="AJ117" s="3"/>
      <c r="AK117" s="3"/>
      <c r="AL117" s="3"/>
      <c r="AM117" s="3"/>
      <c r="AN117" s="2"/>
      <c r="AO117" s="3"/>
      <c r="AP117" s="3"/>
      <c r="AQ117" s="2"/>
      <c r="AR117" s="2"/>
      <c r="AS117" s="3"/>
    </row>
    <row r="118">
      <c r="A118" s="7" t="s">
        <v>45</v>
      </c>
      <c r="B118" s="13">
        <v>395000.0</v>
      </c>
      <c r="C118" s="6"/>
      <c r="D118" s="47">
        <v>1.0</v>
      </c>
      <c r="E118" s="7"/>
      <c r="F118" s="7"/>
      <c r="G118" s="47">
        <v>1.0</v>
      </c>
      <c r="H118" s="7"/>
      <c r="I118" s="7"/>
      <c r="J118" s="7"/>
      <c r="K118" s="47">
        <v>3.0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48">
        <f t="shared" ref="V118:V119" si="49">F118+H118+J118+L118</f>
        <v>0</v>
      </c>
      <c r="W118" s="48">
        <f t="shared" ref="W118:W123" si="50">G118+I118+K118+M118+O118+Q118+S118</f>
        <v>4</v>
      </c>
      <c r="X118" s="48">
        <f t="shared" ref="X118:X123" si="51">V118+W118</f>
        <v>4</v>
      </c>
      <c r="Y118" s="49">
        <f t="shared" ref="Y118:Y123" si="52">B119*X118</f>
        <v>1800000</v>
      </c>
      <c r="Z118" s="4"/>
      <c r="AA118" s="4"/>
      <c r="AB118" s="4"/>
      <c r="AC118" s="3"/>
      <c r="AD118" s="3"/>
      <c r="AE118" s="2"/>
      <c r="AF118" s="3"/>
      <c r="AG118" s="3"/>
      <c r="AH118" s="3"/>
      <c r="AI118" s="2"/>
      <c r="AJ118" s="2"/>
      <c r="AK118" s="2"/>
      <c r="AL118" s="2"/>
      <c r="AM118" s="2"/>
      <c r="AN118" s="2"/>
      <c r="AO118" s="2"/>
      <c r="AP118" s="100"/>
      <c r="AQ118" s="2"/>
      <c r="AR118" s="2"/>
      <c r="AS118" s="3"/>
    </row>
    <row r="119">
      <c r="A119" s="7" t="s">
        <v>48</v>
      </c>
      <c r="B119" s="46">
        <v>450000.0</v>
      </c>
      <c r="C119" s="7"/>
      <c r="D119" s="47">
        <v>1.0</v>
      </c>
      <c r="E119" s="7"/>
      <c r="F119" s="7"/>
      <c r="G119" s="47">
        <v>6.0</v>
      </c>
      <c r="H119" s="7"/>
      <c r="I119" s="7"/>
      <c r="J119" s="7"/>
      <c r="K119" s="7"/>
      <c r="L119" s="7"/>
      <c r="M119" s="47">
        <v>1.0</v>
      </c>
      <c r="N119" s="7"/>
      <c r="O119" s="7"/>
      <c r="P119" s="7"/>
      <c r="Q119" s="7"/>
      <c r="R119" s="7"/>
      <c r="S119" s="7"/>
      <c r="T119" s="7"/>
      <c r="U119" s="7"/>
      <c r="V119" s="48">
        <f t="shared" si="49"/>
        <v>0</v>
      </c>
      <c r="W119" s="48">
        <f t="shared" si="50"/>
        <v>7</v>
      </c>
      <c r="X119" s="48">
        <f t="shared" si="51"/>
        <v>7</v>
      </c>
      <c r="Y119" s="49">
        <f t="shared" si="52"/>
        <v>4025000</v>
      </c>
      <c r="Z119" s="4"/>
      <c r="AA119" s="4"/>
      <c r="AB119" s="4"/>
      <c r="AC119" s="3"/>
      <c r="AD119" s="3"/>
      <c r="AE119" s="2"/>
      <c r="AF119" s="3"/>
      <c r="AG119" s="3"/>
      <c r="AH119" s="3"/>
      <c r="AI119" s="2"/>
      <c r="AJ119" s="2"/>
      <c r="AK119" s="2"/>
      <c r="AL119" s="2"/>
      <c r="AM119" s="2"/>
      <c r="AN119" s="2"/>
      <c r="AO119" s="2"/>
      <c r="AP119" s="100"/>
      <c r="AQ119" s="2"/>
      <c r="AR119" s="2"/>
      <c r="AS119" s="3"/>
    </row>
    <row r="120">
      <c r="A120" s="7" t="s">
        <v>50</v>
      </c>
      <c r="B120" s="46">
        <v>575000.0</v>
      </c>
      <c r="C120" s="7"/>
      <c r="D120" s="47">
        <v>1.0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47">
        <v>1.0</v>
      </c>
      <c r="R120" s="7"/>
      <c r="S120" s="47">
        <v>1.0</v>
      </c>
      <c r="T120" s="7"/>
      <c r="U120" s="7"/>
      <c r="V120" s="54"/>
      <c r="W120" s="48">
        <f t="shared" si="50"/>
        <v>2</v>
      </c>
      <c r="X120" s="48">
        <f t="shared" si="51"/>
        <v>2</v>
      </c>
      <c r="Y120" s="49">
        <f t="shared" si="52"/>
        <v>524000</v>
      </c>
      <c r="Z120" s="4"/>
      <c r="AA120" s="4"/>
      <c r="AB120" s="4"/>
      <c r="AC120" s="3"/>
      <c r="AD120" s="3"/>
      <c r="AE120" s="2"/>
      <c r="AF120" s="3"/>
      <c r="AG120" s="3"/>
      <c r="AH120" s="3"/>
      <c r="AI120" s="2"/>
      <c r="AJ120" s="2"/>
      <c r="AK120" s="2"/>
      <c r="AL120" s="2"/>
      <c r="AM120" s="2"/>
      <c r="AN120" s="2"/>
      <c r="AO120" s="2"/>
      <c r="AP120" s="100"/>
      <c r="AQ120" s="2"/>
      <c r="AR120" s="2"/>
      <c r="AS120" s="3"/>
    </row>
    <row r="121">
      <c r="A121" s="7" t="s">
        <v>53</v>
      </c>
      <c r="B121" s="53">
        <v>262000.0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47">
        <v>1.0</v>
      </c>
      <c r="T121" s="7"/>
      <c r="U121" s="7"/>
      <c r="V121" s="54"/>
      <c r="W121" s="48">
        <f t="shared" si="50"/>
        <v>1</v>
      </c>
      <c r="X121" s="48">
        <f t="shared" si="51"/>
        <v>1</v>
      </c>
      <c r="Y121" s="49">
        <f t="shared" si="52"/>
        <v>185000</v>
      </c>
      <c r="Z121" s="4"/>
      <c r="AA121" s="4"/>
      <c r="AB121" s="4"/>
      <c r="AC121" s="3"/>
      <c r="AD121" s="3"/>
      <c r="AE121" s="2"/>
      <c r="AF121" s="3"/>
      <c r="AG121" s="3"/>
      <c r="AH121" s="3"/>
      <c r="AI121" s="2"/>
      <c r="AJ121" s="2"/>
      <c r="AK121" s="2"/>
      <c r="AL121" s="2"/>
      <c r="AM121" s="2"/>
      <c r="AN121" s="2"/>
      <c r="AO121" s="2"/>
      <c r="AP121" s="100"/>
      <c r="AQ121" s="2"/>
      <c r="AR121" s="2"/>
      <c r="AS121" s="3"/>
    </row>
    <row r="122">
      <c r="A122" s="7" t="s">
        <v>55</v>
      </c>
      <c r="B122" s="53">
        <v>185000.0</v>
      </c>
      <c r="C122" s="7"/>
      <c r="D122" s="47">
        <v>1.0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47">
        <v>1.0</v>
      </c>
      <c r="R122" s="7"/>
      <c r="S122" s="47">
        <v>1.0</v>
      </c>
      <c r="T122" s="7"/>
      <c r="U122" s="7"/>
      <c r="V122" s="54"/>
      <c r="W122" s="48">
        <f t="shared" si="50"/>
        <v>2</v>
      </c>
      <c r="X122" s="48">
        <f t="shared" si="51"/>
        <v>2</v>
      </c>
      <c r="Y122" s="49">
        <f t="shared" si="52"/>
        <v>484000</v>
      </c>
      <c r="Z122" s="4"/>
      <c r="AA122" s="4"/>
      <c r="AB122" s="4"/>
      <c r="AC122" s="3"/>
      <c r="AD122" s="3"/>
      <c r="AE122" s="2"/>
      <c r="AF122" s="3"/>
      <c r="AG122" s="3"/>
      <c r="AH122" s="3"/>
      <c r="AI122" s="2"/>
      <c r="AJ122" s="2"/>
      <c r="AK122" s="2"/>
      <c r="AL122" s="2"/>
      <c r="AM122" s="2"/>
      <c r="AN122" s="2"/>
      <c r="AO122" s="2"/>
      <c r="AP122" s="100"/>
      <c r="AQ122" s="2"/>
      <c r="AR122" s="2"/>
      <c r="AS122" s="3"/>
    </row>
    <row r="123">
      <c r="A123" s="7" t="s">
        <v>57</v>
      </c>
      <c r="B123" s="53">
        <v>242000.0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47">
        <v>1.0</v>
      </c>
      <c r="R123" s="7"/>
      <c r="S123" s="47">
        <v>1.0</v>
      </c>
      <c r="T123" s="7"/>
      <c r="U123" s="7"/>
      <c r="V123" s="54"/>
      <c r="W123" s="48">
        <f t="shared" si="50"/>
        <v>2</v>
      </c>
      <c r="X123" s="48">
        <f t="shared" si="51"/>
        <v>2</v>
      </c>
      <c r="Y123" s="49">
        <f t="shared" si="52"/>
        <v>404000</v>
      </c>
      <c r="Z123" s="4"/>
      <c r="AA123" s="4"/>
      <c r="AB123" s="4"/>
      <c r="AC123" s="3"/>
      <c r="AD123" s="3"/>
      <c r="AE123" s="2"/>
      <c r="AF123" s="3"/>
      <c r="AG123" s="3"/>
      <c r="AH123" s="3"/>
      <c r="AI123" s="2"/>
      <c r="AJ123" s="2"/>
      <c r="AK123" s="2"/>
      <c r="AL123" s="2"/>
      <c r="AM123" s="2"/>
      <c r="AN123" s="2"/>
      <c r="AO123" s="2"/>
      <c r="AP123" s="100"/>
      <c r="AQ123" s="2"/>
      <c r="AR123" s="2"/>
      <c r="AS123" s="3"/>
    </row>
    <row r="124">
      <c r="A124" s="7" t="s">
        <v>60</v>
      </c>
      <c r="B124" s="53">
        <v>202000.0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47">
        <v>1.0</v>
      </c>
      <c r="R124" s="7"/>
      <c r="S124" s="47">
        <v>1.0</v>
      </c>
      <c r="T124" s="7"/>
      <c r="U124" s="6"/>
      <c r="V124" s="6"/>
      <c r="W124" s="6"/>
      <c r="X124" s="6"/>
      <c r="Y124" s="6"/>
      <c r="Z124" s="4"/>
      <c r="AA124" s="4"/>
      <c r="AB124" s="4"/>
      <c r="AC124" s="3"/>
      <c r="AD124" s="3"/>
      <c r="AE124" s="2"/>
      <c r="AF124" s="3"/>
      <c r="AG124" s="3"/>
      <c r="AH124" s="3"/>
      <c r="AI124" s="2"/>
      <c r="AJ124" s="2"/>
      <c r="AK124" s="2"/>
      <c r="AL124" s="2"/>
      <c r="AM124" s="2"/>
      <c r="AN124" s="2"/>
      <c r="AO124" s="2"/>
      <c r="AP124" s="100"/>
      <c r="AQ124" s="2"/>
      <c r="AR124" s="2"/>
      <c r="AS124" s="3"/>
    </row>
    <row r="125">
      <c r="A125" s="7" t="s">
        <v>61</v>
      </c>
      <c r="B125" s="53">
        <v>175000.0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54"/>
      <c r="W125" s="48">
        <f t="shared" ref="W125:W126" si="53">G125+I125+K125+M125+O125+Q125+S125</f>
        <v>0</v>
      </c>
      <c r="X125" s="48">
        <f t="shared" ref="X125:X127" si="54">V125+W125</f>
        <v>0</v>
      </c>
      <c r="Y125" s="49">
        <f t="shared" ref="Y125:Y127" si="55">B125*X125</f>
        <v>0</v>
      </c>
      <c r="Z125" s="4"/>
      <c r="AA125" s="4"/>
      <c r="AB125" s="4"/>
      <c r="AC125" s="3"/>
      <c r="AD125" s="3"/>
      <c r="AE125" s="2"/>
      <c r="AF125" s="3"/>
      <c r="AG125" s="3"/>
      <c r="AH125" s="3"/>
      <c r="AI125" s="2"/>
      <c r="AJ125" s="2"/>
      <c r="AK125" s="2"/>
      <c r="AL125" s="2"/>
      <c r="AM125" s="2"/>
      <c r="AN125" s="2"/>
      <c r="AO125" s="2"/>
      <c r="AP125" s="100"/>
      <c r="AQ125" s="2"/>
      <c r="AR125" s="2"/>
      <c r="AS125" s="3"/>
    </row>
    <row r="126">
      <c r="A126" s="7" t="s">
        <v>62</v>
      </c>
      <c r="B126" s="53">
        <v>233000.0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54"/>
      <c r="W126" s="48">
        <f t="shared" si="53"/>
        <v>0</v>
      </c>
      <c r="X126" s="48">
        <f t="shared" si="54"/>
        <v>0</v>
      </c>
      <c r="Y126" s="49">
        <f t="shared" si="55"/>
        <v>0</v>
      </c>
      <c r="Z126" s="4"/>
      <c r="AA126" s="4"/>
      <c r="AB126" s="4"/>
      <c r="AC126" s="3"/>
      <c r="AD126" s="3"/>
      <c r="AE126" s="2"/>
      <c r="AF126" s="3"/>
      <c r="AG126" s="3"/>
      <c r="AH126" s="3"/>
      <c r="AI126" s="2"/>
      <c r="AJ126" s="2"/>
      <c r="AK126" s="2"/>
      <c r="AL126" s="2"/>
      <c r="AM126" s="2"/>
      <c r="AN126" s="2"/>
      <c r="AO126" s="2"/>
      <c r="AP126" s="100"/>
      <c r="AQ126" s="2"/>
      <c r="AR126" s="2"/>
      <c r="AS126" s="3"/>
    </row>
    <row r="127">
      <c r="A127" s="7" t="s">
        <v>63</v>
      </c>
      <c r="B127" s="8"/>
      <c r="C127" s="7"/>
      <c r="D127" s="47">
        <f>SUM(D118:D126)</f>
        <v>4</v>
      </c>
      <c r="E127" s="47">
        <f t="shared" ref="E127:W127" si="56">SUM(E118:E119)</f>
        <v>0</v>
      </c>
      <c r="F127" s="47">
        <f t="shared" si="56"/>
        <v>0</v>
      </c>
      <c r="G127" s="47">
        <f t="shared" si="56"/>
        <v>7</v>
      </c>
      <c r="H127" s="47">
        <f t="shared" si="56"/>
        <v>0</v>
      </c>
      <c r="I127" s="47">
        <f t="shared" si="56"/>
        <v>0</v>
      </c>
      <c r="J127" s="47">
        <f t="shared" si="56"/>
        <v>0</v>
      </c>
      <c r="K127" s="47">
        <f t="shared" si="56"/>
        <v>3</v>
      </c>
      <c r="L127" s="47">
        <f t="shared" si="56"/>
        <v>0</v>
      </c>
      <c r="M127" s="47">
        <f t="shared" si="56"/>
        <v>1</v>
      </c>
      <c r="N127" s="47">
        <f t="shared" si="56"/>
        <v>0</v>
      </c>
      <c r="O127" s="47">
        <f t="shared" si="56"/>
        <v>0</v>
      </c>
      <c r="P127" s="47">
        <f t="shared" si="56"/>
        <v>0</v>
      </c>
      <c r="Q127" s="47">
        <f t="shared" si="56"/>
        <v>0</v>
      </c>
      <c r="R127" s="47">
        <f t="shared" si="56"/>
        <v>0</v>
      </c>
      <c r="S127" s="47">
        <f t="shared" si="56"/>
        <v>0</v>
      </c>
      <c r="T127" s="47">
        <f t="shared" si="56"/>
        <v>0</v>
      </c>
      <c r="U127" s="47">
        <f t="shared" si="56"/>
        <v>0</v>
      </c>
      <c r="V127" s="48">
        <f t="shared" si="56"/>
        <v>0</v>
      </c>
      <c r="W127" s="48">
        <f t="shared" si="56"/>
        <v>11</v>
      </c>
      <c r="X127" s="48">
        <f t="shared" si="54"/>
        <v>11</v>
      </c>
      <c r="Y127" s="49">
        <f t="shared" si="55"/>
        <v>0</v>
      </c>
      <c r="Z127" s="4"/>
      <c r="AA127" s="4"/>
      <c r="AB127" s="4"/>
      <c r="AC127" s="3"/>
      <c r="AD127" s="3"/>
      <c r="AE127" s="2"/>
      <c r="AF127" s="3"/>
      <c r="AG127" s="3"/>
      <c r="AH127" s="3"/>
      <c r="AI127" s="2"/>
      <c r="AJ127" s="2"/>
      <c r="AK127" s="2"/>
      <c r="AL127" s="2"/>
      <c r="AM127" s="2"/>
      <c r="AN127" s="2"/>
      <c r="AO127" s="2"/>
      <c r="AP127" s="100"/>
      <c r="AQ127" s="2"/>
      <c r="AR127" s="2"/>
      <c r="AS127" s="3"/>
    </row>
    <row r="128">
      <c r="A128" s="7" t="s">
        <v>64</v>
      </c>
      <c r="B128" s="8"/>
      <c r="C128" s="7"/>
      <c r="D128" s="7"/>
      <c r="E128" s="7"/>
      <c r="F128" s="7"/>
      <c r="G128" s="47">
        <f>G127-H127</f>
        <v>7</v>
      </c>
      <c r="H128" s="7"/>
      <c r="I128" s="47">
        <f>I127-J127</f>
        <v>0</v>
      </c>
      <c r="J128" s="7"/>
      <c r="K128" s="47">
        <f>K127-L127</f>
        <v>3</v>
      </c>
      <c r="L128" s="7"/>
      <c r="M128" s="47">
        <f>M127-N127</f>
        <v>1</v>
      </c>
      <c r="N128" s="7"/>
      <c r="O128" s="47">
        <f>O127-P127</f>
        <v>0</v>
      </c>
      <c r="P128" s="7"/>
      <c r="Q128" s="47">
        <f>Q127-R127</f>
        <v>0</v>
      </c>
      <c r="R128" s="7"/>
      <c r="S128" s="47">
        <f>S127-T127</f>
        <v>0</v>
      </c>
      <c r="T128" s="7"/>
      <c r="U128" s="7"/>
      <c r="V128" s="54"/>
      <c r="W128" s="54"/>
      <c r="X128" s="48">
        <f t="shared" ref="X128:Y128" si="57">sum(X118:X127)</f>
        <v>29</v>
      </c>
      <c r="Y128" s="49">
        <f t="shared" si="57"/>
        <v>7422000</v>
      </c>
      <c r="Z128" s="4"/>
      <c r="AA128" s="4"/>
      <c r="AB128" s="4"/>
      <c r="AC128" s="3"/>
      <c r="AD128" s="3"/>
      <c r="AE128" s="2"/>
      <c r="AF128" s="3"/>
      <c r="AG128" s="3"/>
      <c r="AH128" s="3"/>
      <c r="AI128" s="2"/>
      <c r="AJ128" s="2"/>
      <c r="AK128" s="2"/>
      <c r="AL128" s="2"/>
      <c r="AM128" s="2"/>
      <c r="AN128" s="2"/>
      <c r="AO128" s="2"/>
      <c r="AP128" s="100"/>
      <c r="AQ128" s="2"/>
      <c r="AR128" s="2"/>
      <c r="AS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  <c r="AA129" s="4"/>
      <c r="AB129" s="4"/>
      <c r="AC129" s="3"/>
      <c r="AD129" s="3"/>
      <c r="AE129" s="2"/>
      <c r="AF129" s="3"/>
      <c r="AG129" s="3"/>
      <c r="AH129" s="3"/>
      <c r="AI129" s="2"/>
      <c r="AJ129" s="2"/>
      <c r="AK129" s="2"/>
      <c r="AL129" s="2"/>
      <c r="AM129" s="2"/>
      <c r="AN129" s="2"/>
      <c r="AO129" s="2"/>
      <c r="AP129" s="100"/>
      <c r="AQ129" s="2"/>
      <c r="AR129" s="2"/>
      <c r="AS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  <c r="AA130" s="4"/>
      <c r="AB130" s="4"/>
      <c r="AC130" s="3"/>
      <c r="AD130" s="3"/>
      <c r="AE130" s="2"/>
      <c r="AF130" s="3"/>
      <c r="AG130" s="3"/>
      <c r="AH130" s="3"/>
      <c r="AI130" s="2"/>
      <c r="AJ130" s="2"/>
      <c r="AK130" s="2"/>
      <c r="AL130" s="2"/>
      <c r="AM130" s="2"/>
      <c r="AN130" s="2"/>
      <c r="AO130" s="2"/>
      <c r="AP130" s="100"/>
      <c r="AQ130" s="2"/>
      <c r="AR130" s="2"/>
      <c r="AS130" s="3"/>
    </row>
    <row r="131">
      <c r="A131" s="7"/>
      <c r="B131" s="8"/>
      <c r="C131" s="7"/>
      <c r="D131" s="9">
        <v>46001.0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  <c r="X131" s="6"/>
      <c r="Y131" s="6"/>
      <c r="Z131" s="4"/>
      <c r="AA131" s="4"/>
      <c r="AB131" s="4"/>
      <c r="AC131" s="3"/>
      <c r="AD131" s="3"/>
      <c r="AE131" s="2"/>
      <c r="AF131" s="3"/>
      <c r="AG131" s="3"/>
      <c r="AH131" s="3"/>
      <c r="AI131" s="2"/>
      <c r="AJ131" s="2"/>
      <c r="AK131" s="2"/>
      <c r="AL131" s="2"/>
      <c r="AM131" s="2"/>
      <c r="AN131" s="2"/>
      <c r="AO131" s="2"/>
      <c r="AP131" s="100"/>
      <c r="AQ131" s="2"/>
      <c r="AR131" s="2"/>
      <c r="AS131" s="3"/>
    </row>
    <row r="132">
      <c r="A132" s="70" t="s">
        <v>6</v>
      </c>
      <c r="B132" s="34" t="b">
        <v>0</v>
      </c>
      <c r="C132" s="7"/>
      <c r="D132" s="71" t="s">
        <v>7</v>
      </c>
      <c r="E132" s="11"/>
      <c r="F132" s="7"/>
      <c r="G132" s="71" t="s">
        <v>8</v>
      </c>
      <c r="H132" s="11"/>
      <c r="I132" s="71" t="s">
        <v>9</v>
      </c>
      <c r="J132" s="11"/>
      <c r="K132" s="72" t="s">
        <v>10</v>
      </c>
      <c r="L132" s="11"/>
      <c r="M132" s="71" t="s">
        <v>11</v>
      </c>
      <c r="N132" s="11"/>
      <c r="O132" s="71" t="s">
        <v>12</v>
      </c>
      <c r="P132" s="11"/>
      <c r="Q132" s="71" t="s">
        <v>13</v>
      </c>
      <c r="R132" s="11"/>
      <c r="S132" s="71" t="s">
        <v>14</v>
      </c>
      <c r="T132" s="11"/>
      <c r="U132" s="35" t="s">
        <v>15</v>
      </c>
      <c r="V132" s="73" t="s">
        <v>16</v>
      </c>
      <c r="W132" s="10"/>
      <c r="X132" s="10"/>
      <c r="Y132" s="11"/>
      <c r="Z132" s="4"/>
      <c r="AA132" s="4"/>
      <c r="AB132" s="4"/>
      <c r="AC132" s="3"/>
      <c r="AD132" s="3"/>
      <c r="AE132" s="2"/>
      <c r="AF132" s="3"/>
      <c r="AG132" s="3"/>
      <c r="AH132" s="3"/>
      <c r="AI132" s="2"/>
      <c r="AJ132" s="2"/>
      <c r="AK132" s="2"/>
      <c r="AL132" s="2"/>
      <c r="AM132" s="2"/>
      <c r="AN132" s="2"/>
      <c r="AO132" s="2"/>
      <c r="AP132" s="100"/>
      <c r="AQ132" s="2"/>
      <c r="AR132" s="2"/>
      <c r="AS132" s="3"/>
    </row>
    <row r="133">
      <c r="A133" s="7"/>
      <c r="B133" s="34" t="s">
        <v>28</v>
      </c>
      <c r="C133" s="35" t="s">
        <v>29</v>
      </c>
      <c r="D133" s="35" t="s">
        <v>30</v>
      </c>
      <c r="E133" s="35" t="s">
        <v>31</v>
      </c>
      <c r="F133" s="35" t="s">
        <v>32</v>
      </c>
      <c r="G133" s="35" t="s">
        <v>33</v>
      </c>
      <c r="H133" s="35" t="s">
        <v>31</v>
      </c>
      <c r="I133" s="35" t="s">
        <v>33</v>
      </c>
      <c r="J133" s="35" t="s">
        <v>31</v>
      </c>
      <c r="K133" s="35" t="s">
        <v>33</v>
      </c>
      <c r="L133" s="35" t="s">
        <v>31</v>
      </c>
      <c r="M133" s="35" t="s">
        <v>33</v>
      </c>
      <c r="N133" s="35" t="s">
        <v>31</v>
      </c>
      <c r="O133" s="35" t="s">
        <v>33</v>
      </c>
      <c r="P133" s="35" t="s">
        <v>31</v>
      </c>
      <c r="Q133" s="35" t="s">
        <v>33</v>
      </c>
      <c r="R133" s="35" t="s">
        <v>31</v>
      </c>
      <c r="S133" s="35" t="s">
        <v>33</v>
      </c>
      <c r="T133" s="35" t="s">
        <v>31</v>
      </c>
      <c r="U133" s="35" t="s">
        <v>34</v>
      </c>
      <c r="V133" s="36" t="s">
        <v>7</v>
      </c>
      <c r="W133" s="36" t="s">
        <v>35</v>
      </c>
      <c r="X133" s="36" t="s">
        <v>36</v>
      </c>
      <c r="Y133" s="36" t="s">
        <v>37</v>
      </c>
      <c r="Z133" s="4"/>
      <c r="AA133" s="4"/>
      <c r="AB133" s="4"/>
      <c r="AC133" s="3"/>
      <c r="AD133" s="3"/>
      <c r="AE133" s="2"/>
      <c r="AF133" s="3"/>
      <c r="AG133" s="3"/>
      <c r="AH133" s="3"/>
      <c r="AI133" s="2"/>
      <c r="AJ133" s="2"/>
      <c r="AK133" s="2"/>
      <c r="AL133" s="2"/>
      <c r="AM133" s="2"/>
      <c r="AN133" s="2"/>
      <c r="AO133" s="2"/>
      <c r="AP133" s="100"/>
      <c r="AQ133" s="2"/>
      <c r="AR133" s="2"/>
      <c r="AS133" s="3"/>
    </row>
    <row r="134">
      <c r="A134" s="7" t="s">
        <v>42</v>
      </c>
      <c r="B134" s="46">
        <v>335000.0</v>
      </c>
      <c r="C134" s="7"/>
      <c r="D134" s="47">
        <v>1.0</v>
      </c>
      <c r="E134" s="7"/>
      <c r="F134" s="7"/>
      <c r="G134" s="47">
        <v>14.0</v>
      </c>
      <c r="H134" s="7"/>
      <c r="I134" s="47">
        <v>8.0</v>
      </c>
      <c r="J134" s="7"/>
      <c r="K134" s="47">
        <v>22.0</v>
      </c>
      <c r="L134" s="7"/>
      <c r="M134" s="47">
        <v>11.0</v>
      </c>
      <c r="N134" s="7"/>
      <c r="O134" s="7"/>
      <c r="P134" s="7"/>
      <c r="Q134" s="47">
        <v>1.0</v>
      </c>
      <c r="R134" s="7"/>
      <c r="S134" s="7"/>
      <c r="T134" s="7"/>
      <c r="U134" s="7"/>
      <c r="V134" s="48">
        <f t="shared" ref="V134:V137" si="58">F134+H134+J134+L134</f>
        <v>0</v>
      </c>
      <c r="W134" s="48">
        <f t="shared" ref="W134:W143" si="59">G134+I134+K134+M134+O134+Q134+S134</f>
        <v>56</v>
      </c>
      <c r="X134" s="48">
        <f t="shared" ref="X134:X144" si="60">V134+W134</f>
        <v>56</v>
      </c>
      <c r="Y134" s="49">
        <f t="shared" ref="Y134:Y143" si="61">B134*X134</f>
        <v>18760000</v>
      </c>
      <c r="Z134" s="4"/>
      <c r="AA134" s="4"/>
      <c r="AB134" s="4"/>
      <c r="AC134" s="3"/>
      <c r="AD134" s="3"/>
      <c r="AE134" s="2"/>
      <c r="AF134" s="3"/>
      <c r="AG134" s="3"/>
      <c r="AH134" s="3"/>
      <c r="AI134" s="2"/>
      <c r="AJ134" s="2"/>
      <c r="AK134" s="2"/>
      <c r="AL134" s="2"/>
      <c r="AM134" s="2"/>
      <c r="AN134" s="2"/>
      <c r="AO134" s="2"/>
      <c r="AP134" s="100"/>
      <c r="AQ134" s="2"/>
      <c r="AR134" s="2"/>
      <c r="AS134" s="3"/>
    </row>
    <row r="135">
      <c r="A135" s="7" t="s">
        <v>45</v>
      </c>
      <c r="B135" s="13">
        <v>395000.0</v>
      </c>
      <c r="C135" s="6"/>
      <c r="D135" s="47">
        <v>5.0</v>
      </c>
      <c r="E135" s="7"/>
      <c r="F135" s="7"/>
      <c r="G135" s="47">
        <v>18.0</v>
      </c>
      <c r="H135" s="7"/>
      <c r="I135" s="47">
        <v>3.0</v>
      </c>
      <c r="J135" s="7"/>
      <c r="K135" s="7"/>
      <c r="L135" s="7"/>
      <c r="M135" s="47">
        <v>3.0</v>
      </c>
      <c r="N135" s="7"/>
      <c r="O135" s="47">
        <v>6.0</v>
      </c>
      <c r="P135" s="7"/>
      <c r="Q135" s="47">
        <v>3.0</v>
      </c>
      <c r="R135" s="7"/>
      <c r="S135" s="7"/>
      <c r="T135" s="7"/>
      <c r="U135" s="7"/>
      <c r="V135" s="48">
        <f t="shared" si="58"/>
        <v>0</v>
      </c>
      <c r="W135" s="48">
        <f t="shared" si="59"/>
        <v>33</v>
      </c>
      <c r="X135" s="48">
        <f t="shared" si="60"/>
        <v>33</v>
      </c>
      <c r="Y135" s="49">
        <f t="shared" si="61"/>
        <v>13035000</v>
      </c>
      <c r="Z135" s="4"/>
      <c r="AA135" s="4"/>
      <c r="AB135" s="4"/>
      <c r="AC135" s="3"/>
      <c r="AD135" s="3"/>
      <c r="AE135" s="2"/>
      <c r="AF135" s="3"/>
      <c r="AG135" s="3"/>
      <c r="AH135" s="3"/>
      <c r="AI135" s="2"/>
      <c r="AJ135" s="2"/>
      <c r="AK135" s="2"/>
      <c r="AL135" s="2"/>
      <c r="AM135" s="2"/>
      <c r="AN135" s="2"/>
      <c r="AO135" s="2"/>
      <c r="AP135" s="100"/>
      <c r="AQ135" s="2"/>
      <c r="AR135" s="2"/>
      <c r="AS135" s="3"/>
    </row>
    <row r="136">
      <c r="A136" s="7" t="s">
        <v>48</v>
      </c>
      <c r="B136" s="46">
        <v>450000.0</v>
      </c>
      <c r="C136" s="7"/>
      <c r="D136" s="47">
        <v>1.0</v>
      </c>
      <c r="E136" s="7"/>
      <c r="F136" s="7"/>
      <c r="G136" s="47">
        <v>1.0</v>
      </c>
      <c r="H136" s="7"/>
      <c r="I136" s="7"/>
      <c r="J136" s="7"/>
      <c r="K136" s="47">
        <v>3.0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48">
        <f t="shared" si="58"/>
        <v>0</v>
      </c>
      <c r="W136" s="48">
        <f t="shared" si="59"/>
        <v>4</v>
      </c>
      <c r="X136" s="48">
        <f t="shared" si="60"/>
        <v>4</v>
      </c>
      <c r="Y136" s="49">
        <f t="shared" si="61"/>
        <v>1800000</v>
      </c>
      <c r="Z136" s="4"/>
      <c r="AA136" s="4"/>
      <c r="AB136" s="4"/>
      <c r="AC136" s="3"/>
      <c r="AD136" s="3"/>
      <c r="AE136" s="2"/>
      <c r="AF136" s="3"/>
      <c r="AG136" s="3"/>
      <c r="AH136" s="3"/>
      <c r="AI136" s="2"/>
      <c r="AJ136" s="2"/>
      <c r="AK136" s="2"/>
      <c r="AL136" s="2"/>
      <c r="AM136" s="2"/>
      <c r="AN136" s="2"/>
      <c r="AO136" s="2"/>
      <c r="AP136" s="100"/>
      <c r="AQ136" s="2"/>
      <c r="AR136" s="2"/>
      <c r="AS136" s="3"/>
    </row>
    <row r="137">
      <c r="A137" s="7" t="s">
        <v>50</v>
      </c>
      <c r="B137" s="46">
        <v>575000.0</v>
      </c>
      <c r="C137" s="7"/>
      <c r="D137" s="47">
        <v>1.0</v>
      </c>
      <c r="E137" s="7"/>
      <c r="F137" s="7"/>
      <c r="G137" s="47">
        <v>6.0</v>
      </c>
      <c r="H137" s="7"/>
      <c r="I137" s="7"/>
      <c r="J137" s="7"/>
      <c r="K137" s="7"/>
      <c r="L137" s="7"/>
      <c r="M137" s="47">
        <v>1.0</v>
      </c>
      <c r="N137" s="7"/>
      <c r="O137" s="7"/>
      <c r="P137" s="7"/>
      <c r="Q137" s="7"/>
      <c r="R137" s="7"/>
      <c r="S137" s="7"/>
      <c r="T137" s="7"/>
      <c r="U137" s="7"/>
      <c r="V137" s="48">
        <f t="shared" si="58"/>
        <v>0</v>
      </c>
      <c r="W137" s="48">
        <f t="shared" si="59"/>
        <v>7</v>
      </c>
      <c r="X137" s="48">
        <f t="shared" si="60"/>
        <v>7</v>
      </c>
      <c r="Y137" s="49">
        <f t="shared" si="61"/>
        <v>4025000</v>
      </c>
      <c r="Z137" s="4"/>
      <c r="AA137" s="4"/>
      <c r="AB137" s="4"/>
      <c r="AC137" s="3"/>
      <c r="AD137" s="3"/>
      <c r="AE137" s="2"/>
      <c r="AF137" s="3"/>
      <c r="AG137" s="3"/>
      <c r="AH137" s="3"/>
      <c r="AI137" s="2"/>
      <c r="AJ137" s="2"/>
      <c r="AK137" s="2"/>
      <c r="AL137" s="2"/>
      <c r="AM137" s="2"/>
      <c r="AN137" s="2"/>
      <c r="AO137" s="2"/>
      <c r="AP137" s="100"/>
      <c r="AQ137" s="2"/>
      <c r="AR137" s="2"/>
      <c r="AS137" s="3"/>
    </row>
    <row r="138">
      <c r="A138" s="7" t="s">
        <v>53</v>
      </c>
      <c r="B138" s="53">
        <v>262000.0</v>
      </c>
      <c r="C138" s="7"/>
      <c r="D138" s="47">
        <v>1.0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47">
        <v>1.0</v>
      </c>
      <c r="R138" s="7"/>
      <c r="S138" s="47">
        <v>1.0</v>
      </c>
      <c r="T138" s="7"/>
      <c r="U138" s="7"/>
      <c r="V138" s="54"/>
      <c r="W138" s="48">
        <f t="shared" si="59"/>
        <v>2</v>
      </c>
      <c r="X138" s="48">
        <f t="shared" si="60"/>
        <v>2</v>
      </c>
      <c r="Y138" s="49">
        <f t="shared" si="61"/>
        <v>524000</v>
      </c>
      <c r="Z138" s="4"/>
      <c r="AA138" s="4"/>
      <c r="AB138" s="4"/>
      <c r="AC138" s="3"/>
      <c r="AD138" s="3"/>
      <c r="AE138" s="2"/>
      <c r="AF138" s="3"/>
      <c r="AG138" s="3"/>
      <c r="AH138" s="3"/>
      <c r="AI138" s="2"/>
      <c r="AJ138" s="2"/>
      <c r="AK138" s="2"/>
      <c r="AL138" s="2"/>
      <c r="AM138" s="2"/>
      <c r="AN138" s="2"/>
      <c r="AO138" s="2"/>
      <c r="AP138" s="100"/>
      <c r="AQ138" s="2"/>
      <c r="AR138" s="2"/>
      <c r="AS138" s="3"/>
    </row>
    <row r="139">
      <c r="A139" s="7" t="s">
        <v>55</v>
      </c>
      <c r="B139" s="53">
        <v>185000.0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47">
        <v>1.0</v>
      </c>
      <c r="T139" s="7"/>
      <c r="U139" s="7"/>
      <c r="V139" s="54"/>
      <c r="W139" s="48">
        <f t="shared" si="59"/>
        <v>1</v>
      </c>
      <c r="X139" s="48">
        <f t="shared" si="60"/>
        <v>1</v>
      </c>
      <c r="Y139" s="49">
        <f t="shared" si="61"/>
        <v>185000</v>
      </c>
      <c r="Z139" s="4"/>
      <c r="AA139" s="4"/>
      <c r="AB139" s="4"/>
      <c r="AC139" s="3"/>
      <c r="AD139" s="3"/>
      <c r="AE139" s="2"/>
      <c r="AF139" s="3"/>
      <c r="AG139" s="3"/>
      <c r="AH139" s="3"/>
      <c r="AI139" s="2"/>
      <c r="AJ139" s="2"/>
      <c r="AK139" s="2"/>
      <c r="AL139" s="2"/>
      <c r="AM139" s="2"/>
      <c r="AN139" s="2"/>
      <c r="AO139" s="2"/>
      <c r="AP139" s="100"/>
      <c r="AQ139" s="2"/>
      <c r="AR139" s="2"/>
      <c r="AS139" s="3"/>
    </row>
    <row r="140">
      <c r="A140" s="7" t="s">
        <v>57</v>
      </c>
      <c r="B140" s="53">
        <v>242000.0</v>
      </c>
      <c r="C140" s="7"/>
      <c r="D140" s="47">
        <v>1.0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47">
        <v>1.0</v>
      </c>
      <c r="R140" s="7"/>
      <c r="S140" s="47">
        <v>1.0</v>
      </c>
      <c r="T140" s="7"/>
      <c r="U140" s="7"/>
      <c r="V140" s="54"/>
      <c r="W140" s="48">
        <f t="shared" si="59"/>
        <v>2</v>
      </c>
      <c r="X140" s="48">
        <f t="shared" si="60"/>
        <v>2</v>
      </c>
      <c r="Y140" s="49">
        <f t="shared" si="61"/>
        <v>484000</v>
      </c>
      <c r="Z140" s="4"/>
      <c r="AA140" s="4"/>
      <c r="AB140" s="4"/>
      <c r="AC140" s="3"/>
      <c r="AD140" s="3"/>
      <c r="AE140" s="2"/>
      <c r="AF140" s="3"/>
      <c r="AG140" s="3"/>
      <c r="AH140" s="3"/>
      <c r="AI140" s="2"/>
      <c r="AJ140" s="2"/>
      <c r="AK140" s="2"/>
      <c r="AL140" s="2"/>
      <c r="AM140" s="2"/>
      <c r="AN140" s="2"/>
      <c r="AO140" s="2"/>
      <c r="AP140" s="100"/>
      <c r="AQ140" s="2"/>
      <c r="AR140" s="2"/>
      <c r="AS140" s="3"/>
    </row>
    <row r="141">
      <c r="A141" s="7" t="s">
        <v>60</v>
      </c>
      <c r="B141" s="53">
        <v>202000.0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47">
        <v>1.0</v>
      </c>
      <c r="R141" s="7"/>
      <c r="S141" s="47">
        <v>1.0</v>
      </c>
      <c r="T141" s="7"/>
      <c r="U141" s="7"/>
      <c r="V141" s="54"/>
      <c r="W141" s="48">
        <f t="shared" si="59"/>
        <v>2</v>
      </c>
      <c r="X141" s="48">
        <f t="shared" si="60"/>
        <v>2</v>
      </c>
      <c r="Y141" s="49">
        <f t="shared" si="61"/>
        <v>404000</v>
      </c>
      <c r="Z141" s="4"/>
      <c r="AA141" s="4"/>
      <c r="AB141" s="4"/>
      <c r="AC141" s="3"/>
      <c r="AD141" s="3"/>
      <c r="AE141" s="2"/>
      <c r="AF141" s="3"/>
      <c r="AG141" s="3"/>
      <c r="AH141" s="3"/>
      <c r="AI141" s="2"/>
      <c r="AJ141" s="2"/>
      <c r="AK141" s="2"/>
      <c r="AL141" s="2"/>
      <c r="AM141" s="2"/>
      <c r="AN141" s="2"/>
      <c r="AO141" s="2"/>
      <c r="AP141" s="100"/>
      <c r="AQ141" s="2"/>
      <c r="AR141" s="2"/>
      <c r="AS141" s="3"/>
    </row>
    <row r="142">
      <c r="A142" s="7" t="s">
        <v>61</v>
      </c>
      <c r="B142" s="53">
        <v>175000.0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47">
        <v>1.0</v>
      </c>
      <c r="R142" s="7"/>
      <c r="S142" s="47">
        <v>1.0</v>
      </c>
      <c r="T142" s="7"/>
      <c r="U142" s="7"/>
      <c r="V142" s="54"/>
      <c r="W142" s="48">
        <f t="shared" si="59"/>
        <v>2</v>
      </c>
      <c r="X142" s="48">
        <f t="shared" si="60"/>
        <v>2</v>
      </c>
      <c r="Y142" s="49">
        <f t="shared" si="61"/>
        <v>350000</v>
      </c>
      <c r="Z142" s="4"/>
      <c r="AA142" s="4"/>
      <c r="AB142" s="4"/>
      <c r="AC142" s="3"/>
      <c r="AD142" s="3"/>
      <c r="AE142" s="2"/>
      <c r="AF142" s="3"/>
      <c r="AG142" s="3"/>
      <c r="AH142" s="3"/>
      <c r="AI142" s="2"/>
      <c r="AJ142" s="2"/>
      <c r="AK142" s="2"/>
      <c r="AL142" s="2"/>
      <c r="AM142" s="2"/>
      <c r="AN142" s="2"/>
      <c r="AO142" s="2"/>
      <c r="AP142" s="100"/>
      <c r="AQ142" s="2"/>
      <c r="AR142" s="2"/>
      <c r="AS142" s="3"/>
    </row>
    <row r="143">
      <c r="A143" s="7" t="s">
        <v>62</v>
      </c>
      <c r="B143" s="53">
        <v>233000.0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54"/>
      <c r="W143" s="48">
        <f t="shared" si="59"/>
        <v>0</v>
      </c>
      <c r="X143" s="48">
        <f t="shared" si="60"/>
        <v>0</v>
      </c>
      <c r="Y143" s="49">
        <f t="shared" si="61"/>
        <v>0</v>
      </c>
      <c r="Z143" s="4"/>
      <c r="AA143" s="4"/>
      <c r="AB143" s="4"/>
      <c r="AC143" s="3"/>
      <c r="AD143" s="3"/>
      <c r="AE143" s="2"/>
      <c r="AF143" s="3"/>
      <c r="AG143" s="3"/>
      <c r="AH143" s="3"/>
      <c r="AI143" s="2"/>
      <c r="AJ143" s="2"/>
      <c r="AK143" s="2"/>
      <c r="AL143" s="2"/>
      <c r="AM143" s="2"/>
      <c r="AN143" s="2"/>
      <c r="AO143" s="2"/>
      <c r="AP143" s="100"/>
      <c r="AQ143" s="2"/>
      <c r="AR143" s="2"/>
      <c r="AS143" s="3"/>
    </row>
    <row r="144">
      <c r="A144" s="7" t="s">
        <v>63</v>
      </c>
      <c r="B144" s="8"/>
      <c r="C144" s="47">
        <f t="shared" ref="C144:W144" si="62">sum(C134:C143)</f>
        <v>0</v>
      </c>
      <c r="D144" s="47">
        <f t="shared" si="62"/>
        <v>10</v>
      </c>
      <c r="E144" s="47">
        <f t="shared" si="62"/>
        <v>0</v>
      </c>
      <c r="F144" s="47">
        <f t="shared" si="62"/>
        <v>0</v>
      </c>
      <c r="G144" s="47">
        <f t="shared" si="62"/>
        <v>39</v>
      </c>
      <c r="H144" s="47">
        <f t="shared" si="62"/>
        <v>0</v>
      </c>
      <c r="I144" s="47">
        <f t="shared" si="62"/>
        <v>11</v>
      </c>
      <c r="J144" s="47">
        <f t="shared" si="62"/>
        <v>0</v>
      </c>
      <c r="K144" s="47">
        <f t="shared" si="62"/>
        <v>25</v>
      </c>
      <c r="L144" s="47">
        <f t="shared" si="62"/>
        <v>0</v>
      </c>
      <c r="M144" s="47">
        <f t="shared" si="62"/>
        <v>15</v>
      </c>
      <c r="N144" s="47">
        <f t="shared" si="62"/>
        <v>0</v>
      </c>
      <c r="O144" s="47">
        <f t="shared" si="62"/>
        <v>6</v>
      </c>
      <c r="P144" s="47">
        <f t="shared" si="62"/>
        <v>0</v>
      </c>
      <c r="Q144" s="47">
        <f t="shared" si="62"/>
        <v>8</v>
      </c>
      <c r="R144" s="47">
        <f t="shared" si="62"/>
        <v>0</v>
      </c>
      <c r="S144" s="47">
        <f t="shared" si="62"/>
        <v>5</v>
      </c>
      <c r="T144" s="47">
        <f t="shared" si="62"/>
        <v>0</v>
      </c>
      <c r="U144" s="47">
        <f t="shared" si="62"/>
        <v>0</v>
      </c>
      <c r="V144" s="48">
        <f t="shared" si="62"/>
        <v>0</v>
      </c>
      <c r="W144" s="48">
        <f t="shared" si="62"/>
        <v>109</v>
      </c>
      <c r="X144" s="48">
        <f t="shared" si="60"/>
        <v>109</v>
      </c>
      <c r="Y144" s="49">
        <f>sum(Y134:Y143)</f>
        <v>39567000</v>
      </c>
      <c r="Z144" s="4"/>
      <c r="AA144" s="4"/>
      <c r="AB144" s="4"/>
      <c r="AC144" s="3"/>
      <c r="AD144" s="3"/>
      <c r="AE144" s="2"/>
      <c r="AF144" s="3"/>
      <c r="AG144" s="3"/>
      <c r="AH144" s="3"/>
      <c r="AI144" s="2"/>
      <c r="AJ144" s="2"/>
      <c r="AK144" s="2"/>
      <c r="AL144" s="2"/>
      <c r="AM144" s="2"/>
      <c r="AN144" s="2"/>
      <c r="AO144" s="2"/>
      <c r="AP144" s="100"/>
      <c r="AQ144" s="2"/>
      <c r="AR144" s="2"/>
      <c r="AS144" s="3"/>
    </row>
    <row r="145">
      <c r="A145" s="7" t="s">
        <v>64</v>
      </c>
      <c r="B145" s="8"/>
      <c r="C145" s="7"/>
      <c r="D145" s="7"/>
      <c r="E145" s="7"/>
      <c r="F145" s="7"/>
      <c r="G145" s="47">
        <f>G144-H144</f>
        <v>39</v>
      </c>
      <c r="H145" s="7"/>
      <c r="I145" s="47">
        <f>I144-J144</f>
        <v>11</v>
      </c>
      <c r="J145" s="7"/>
      <c r="K145" s="47">
        <f>K144-L144</f>
        <v>25</v>
      </c>
      <c r="L145" s="7"/>
      <c r="M145" s="47">
        <f>M144-N144</f>
        <v>15</v>
      </c>
      <c r="N145" s="7"/>
      <c r="O145" s="47">
        <f>O144-P144</f>
        <v>6</v>
      </c>
      <c r="P145" s="7"/>
      <c r="Q145" s="47">
        <f>Q144-R144</f>
        <v>8</v>
      </c>
      <c r="R145" s="7"/>
      <c r="S145" s="47">
        <f>S144-T144</f>
        <v>5</v>
      </c>
      <c r="T145" s="7"/>
      <c r="U145" s="7"/>
      <c r="V145" s="54"/>
      <c r="W145" s="54"/>
      <c r="X145" s="48">
        <f t="shared" ref="X145:Y145" si="63">sum(X134:X144)</f>
        <v>218</v>
      </c>
      <c r="Y145" s="49">
        <f t="shared" si="63"/>
        <v>79134000</v>
      </c>
      <c r="Z145" s="4"/>
      <c r="AA145" s="4"/>
      <c r="AB145" s="4"/>
      <c r="AC145" s="3"/>
      <c r="AD145" s="3"/>
      <c r="AE145" s="2"/>
      <c r="AF145" s="3"/>
      <c r="AG145" s="3"/>
      <c r="AH145" s="3"/>
      <c r="AI145" s="2"/>
      <c r="AJ145" s="2"/>
      <c r="AK145" s="2"/>
      <c r="AL145" s="2"/>
      <c r="AM145" s="2"/>
      <c r="AN145" s="2"/>
      <c r="AO145" s="2"/>
      <c r="AP145" s="100"/>
      <c r="AQ145" s="2"/>
      <c r="AR145" s="2"/>
      <c r="AS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  <c r="AA146" s="4"/>
      <c r="AB146" s="4"/>
      <c r="AC146" s="3"/>
      <c r="AD146" s="3"/>
      <c r="AE146" s="2"/>
      <c r="AF146" s="3"/>
      <c r="AG146" s="3"/>
      <c r="AH146" s="3"/>
      <c r="AI146" s="2"/>
      <c r="AJ146" s="2"/>
      <c r="AK146" s="2"/>
      <c r="AL146" s="2"/>
      <c r="AM146" s="2"/>
      <c r="AN146" s="2"/>
      <c r="AO146" s="2"/>
      <c r="AP146" s="100"/>
      <c r="AQ146" s="2"/>
      <c r="AR146" s="2"/>
      <c r="AS146" s="3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4"/>
      <c r="AA147" s="4"/>
      <c r="AB147" s="4"/>
      <c r="AC147" s="3"/>
      <c r="AD147" s="3"/>
      <c r="AE147" s="2"/>
      <c r="AF147" s="3"/>
      <c r="AG147" s="3"/>
      <c r="AH147" s="3"/>
      <c r="AI147" s="2"/>
      <c r="AJ147" s="2"/>
      <c r="AK147" s="2"/>
      <c r="AL147" s="2"/>
      <c r="AM147" s="2"/>
      <c r="AN147" s="2"/>
      <c r="AO147" s="2"/>
      <c r="AP147" s="100"/>
      <c r="AQ147" s="2"/>
      <c r="AR147" s="2"/>
      <c r="AS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  <c r="AA148" s="4"/>
      <c r="AB148" s="4"/>
      <c r="AC148" s="3"/>
      <c r="AD148" s="3"/>
      <c r="AE148" s="2"/>
      <c r="AF148" s="3"/>
      <c r="AG148" s="3"/>
      <c r="AH148" s="3"/>
      <c r="AI148" s="2"/>
      <c r="AJ148" s="2"/>
      <c r="AK148" s="2"/>
      <c r="AL148" s="2"/>
      <c r="AM148" s="2"/>
      <c r="AN148" s="2"/>
      <c r="AO148" s="2"/>
      <c r="AP148" s="100"/>
      <c r="AQ148" s="2"/>
      <c r="AR148" s="2"/>
      <c r="AS148" s="3"/>
    </row>
    <row r="149">
      <c r="A149" s="7"/>
      <c r="B149" s="8"/>
      <c r="C149" s="7"/>
      <c r="D149" s="9">
        <v>46002.0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  <c r="X149" s="6"/>
      <c r="Y149" s="6"/>
      <c r="Z149" s="4"/>
      <c r="AA149" s="4"/>
      <c r="AB149" s="4"/>
      <c r="AC149" s="3"/>
      <c r="AD149" s="3"/>
      <c r="AE149" s="2"/>
      <c r="AF149" s="3"/>
      <c r="AG149" s="3"/>
      <c r="AH149" s="3"/>
      <c r="AI149" s="2"/>
      <c r="AJ149" s="2"/>
      <c r="AK149" s="2"/>
      <c r="AL149" s="2"/>
      <c r="AM149" s="2"/>
      <c r="AN149" s="2"/>
      <c r="AO149" s="2"/>
      <c r="AP149" s="100"/>
      <c r="AQ149" s="2"/>
      <c r="AR149" s="2"/>
      <c r="AS149" s="3"/>
    </row>
    <row r="150">
      <c r="A150" s="70" t="s">
        <v>6</v>
      </c>
      <c r="B150" s="34" t="b">
        <v>0</v>
      </c>
      <c r="C150" s="7"/>
      <c r="D150" s="71" t="s">
        <v>7</v>
      </c>
      <c r="E150" s="11"/>
      <c r="F150" s="7"/>
      <c r="G150" s="71" t="s">
        <v>8</v>
      </c>
      <c r="H150" s="11"/>
      <c r="I150" s="71" t="s">
        <v>9</v>
      </c>
      <c r="J150" s="11"/>
      <c r="K150" s="72" t="s">
        <v>10</v>
      </c>
      <c r="L150" s="11"/>
      <c r="M150" s="71" t="s">
        <v>11</v>
      </c>
      <c r="N150" s="11"/>
      <c r="O150" s="71" t="s">
        <v>12</v>
      </c>
      <c r="P150" s="11"/>
      <c r="Q150" s="71" t="s">
        <v>91</v>
      </c>
      <c r="R150" s="11"/>
      <c r="S150" s="71" t="s">
        <v>14</v>
      </c>
      <c r="T150" s="11"/>
      <c r="U150" s="35" t="s">
        <v>15</v>
      </c>
      <c r="V150" s="73" t="s">
        <v>16</v>
      </c>
      <c r="W150" s="10"/>
      <c r="X150" s="10"/>
      <c r="Y150" s="11"/>
      <c r="Z150" s="4"/>
      <c r="AA150" s="4"/>
      <c r="AB150" s="4"/>
      <c r="AC150" s="3"/>
      <c r="AD150" s="3"/>
      <c r="AE150" s="2"/>
      <c r="AF150" s="3"/>
      <c r="AG150" s="3"/>
      <c r="AH150" s="3"/>
      <c r="AI150" s="2"/>
      <c r="AJ150" s="2"/>
      <c r="AK150" s="2"/>
      <c r="AL150" s="2"/>
      <c r="AM150" s="2"/>
      <c r="AN150" s="2"/>
      <c r="AO150" s="2"/>
      <c r="AP150" s="100"/>
      <c r="AQ150" s="2"/>
      <c r="AR150" s="2"/>
      <c r="AS150" s="3"/>
    </row>
    <row r="151">
      <c r="A151" s="7"/>
      <c r="B151" s="34" t="s">
        <v>28</v>
      </c>
      <c r="C151" s="35" t="s">
        <v>29</v>
      </c>
      <c r="D151" s="35" t="s">
        <v>30</v>
      </c>
      <c r="E151" s="35" t="s">
        <v>31</v>
      </c>
      <c r="F151" s="35" t="s">
        <v>32</v>
      </c>
      <c r="G151" s="35" t="s">
        <v>33</v>
      </c>
      <c r="H151" s="35" t="s">
        <v>31</v>
      </c>
      <c r="I151" s="35" t="s">
        <v>33</v>
      </c>
      <c r="J151" s="35" t="s">
        <v>31</v>
      </c>
      <c r="K151" s="35" t="s">
        <v>33</v>
      </c>
      <c r="L151" s="35" t="s">
        <v>31</v>
      </c>
      <c r="M151" s="35" t="s">
        <v>33</v>
      </c>
      <c r="N151" s="35" t="s">
        <v>31</v>
      </c>
      <c r="O151" s="35" t="s">
        <v>33</v>
      </c>
      <c r="P151" s="35" t="s">
        <v>31</v>
      </c>
      <c r="Q151" s="35" t="s">
        <v>33</v>
      </c>
      <c r="R151" s="35" t="s">
        <v>31</v>
      </c>
      <c r="S151" s="35" t="s">
        <v>33</v>
      </c>
      <c r="T151" s="35" t="s">
        <v>31</v>
      </c>
      <c r="U151" s="35" t="s">
        <v>34</v>
      </c>
      <c r="V151" s="36" t="s">
        <v>7</v>
      </c>
      <c r="W151" s="36" t="s">
        <v>35</v>
      </c>
      <c r="X151" s="36" t="s">
        <v>36</v>
      </c>
      <c r="Y151" s="36" t="s">
        <v>37</v>
      </c>
      <c r="Z151" s="4"/>
      <c r="AA151" s="4"/>
      <c r="AB151" s="4"/>
      <c r="AC151" s="3"/>
      <c r="AD151" s="3"/>
      <c r="AE151" s="2"/>
      <c r="AF151" s="3"/>
      <c r="AG151" s="3"/>
      <c r="AH151" s="3"/>
      <c r="AI151" s="2"/>
      <c r="AJ151" s="2"/>
      <c r="AK151" s="2"/>
      <c r="AL151" s="2"/>
      <c r="AM151" s="2"/>
      <c r="AN151" s="2"/>
      <c r="AO151" s="2"/>
      <c r="AP151" s="100"/>
      <c r="AQ151" s="2"/>
      <c r="AR151" s="2"/>
      <c r="AS151" s="3"/>
    </row>
    <row r="152">
      <c r="A152" s="7" t="s">
        <v>42</v>
      </c>
      <c r="B152" s="46">
        <v>335000.0</v>
      </c>
      <c r="C152" s="7"/>
      <c r="D152" s="47">
        <v>1.0</v>
      </c>
      <c r="E152" s="7"/>
      <c r="F152" s="7"/>
      <c r="G152" s="47">
        <v>14.0</v>
      </c>
      <c r="H152" s="7"/>
      <c r="I152" s="47">
        <v>8.0</v>
      </c>
      <c r="J152" s="7"/>
      <c r="K152" s="47">
        <v>22.0</v>
      </c>
      <c r="L152" s="7"/>
      <c r="M152" s="47">
        <v>11.0</v>
      </c>
      <c r="N152" s="7"/>
      <c r="O152" s="7"/>
      <c r="P152" s="7"/>
      <c r="Q152" s="47">
        <v>1.0</v>
      </c>
      <c r="R152" s="7"/>
      <c r="S152" s="7"/>
      <c r="T152" s="7"/>
      <c r="U152" s="7"/>
      <c r="V152" s="48">
        <f t="shared" ref="V152:V161" si="64">D152</f>
        <v>1</v>
      </c>
      <c r="W152" s="48">
        <f t="shared" ref="W152:W161" si="65">G152+I152+K152+M152+O152+Q152+S152</f>
        <v>56</v>
      </c>
      <c r="X152" s="48">
        <f t="shared" ref="X152:X162" si="66">V152+W152</f>
        <v>57</v>
      </c>
      <c r="Y152" s="49">
        <f t="shared" ref="Y152:Y162" si="67">B152*X152</f>
        <v>19095000</v>
      </c>
      <c r="Z152" s="4"/>
      <c r="AA152" s="4"/>
      <c r="AB152" s="4"/>
      <c r="AC152" s="3"/>
      <c r="AD152" s="3"/>
      <c r="AE152" s="2"/>
      <c r="AF152" s="3"/>
      <c r="AG152" s="3"/>
      <c r="AH152" s="3"/>
      <c r="AI152" s="2"/>
      <c r="AJ152" s="2"/>
      <c r="AK152" s="2"/>
      <c r="AL152" s="2"/>
      <c r="AM152" s="2"/>
      <c r="AN152" s="2"/>
      <c r="AO152" s="2"/>
      <c r="AP152" s="100"/>
      <c r="AQ152" s="2"/>
      <c r="AR152" s="2"/>
      <c r="AS152" s="3"/>
    </row>
    <row r="153">
      <c r="A153" s="7" t="s">
        <v>45</v>
      </c>
      <c r="B153" s="13">
        <v>395000.0</v>
      </c>
      <c r="C153" s="6"/>
      <c r="D153" s="47">
        <v>5.0</v>
      </c>
      <c r="E153" s="7"/>
      <c r="F153" s="7"/>
      <c r="G153" s="47">
        <v>18.0</v>
      </c>
      <c r="H153" s="7"/>
      <c r="I153" s="47">
        <v>3.0</v>
      </c>
      <c r="J153" s="7"/>
      <c r="K153" s="7"/>
      <c r="L153" s="7"/>
      <c r="M153" s="47">
        <v>3.0</v>
      </c>
      <c r="N153" s="7"/>
      <c r="O153" s="47">
        <v>6.0</v>
      </c>
      <c r="P153" s="47">
        <v>1.0</v>
      </c>
      <c r="Q153" s="47">
        <v>3.0</v>
      </c>
      <c r="R153" s="7"/>
      <c r="S153" s="7"/>
      <c r="T153" s="7"/>
      <c r="U153" s="7"/>
      <c r="V153" s="48">
        <f t="shared" si="64"/>
        <v>5</v>
      </c>
      <c r="W153" s="48">
        <f t="shared" si="65"/>
        <v>33</v>
      </c>
      <c r="X153" s="48">
        <f t="shared" si="66"/>
        <v>38</v>
      </c>
      <c r="Y153" s="49">
        <f t="shared" si="67"/>
        <v>15010000</v>
      </c>
      <c r="Z153" s="4"/>
      <c r="AA153" s="4"/>
      <c r="AB153" s="4"/>
      <c r="AC153" s="3"/>
      <c r="AD153" s="3"/>
      <c r="AE153" s="2"/>
      <c r="AF153" s="3"/>
      <c r="AG153" s="3"/>
      <c r="AH153" s="3"/>
      <c r="AI153" s="2"/>
      <c r="AJ153" s="2"/>
      <c r="AK153" s="2"/>
      <c r="AL153" s="2"/>
      <c r="AM153" s="2"/>
      <c r="AN153" s="2"/>
      <c r="AO153" s="2"/>
      <c r="AP153" s="100"/>
      <c r="AQ153" s="2"/>
      <c r="AR153" s="2"/>
      <c r="AS153" s="3"/>
    </row>
    <row r="154">
      <c r="A154" s="7" t="s">
        <v>48</v>
      </c>
      <c r="B154" s="46">
        <v>450000.0</v>
      </c>
      <c r="C154" s="7"/>
      <c r="D154" s="47">
        <v>1.0</v>
      </c>
      <c r="E154" s="7"/>
      <c r="F154" s="7"/>
      <c r="G154" s="47">
        <v>1.0</v>
      </c>
      <c r="H154" s="7"/>
      <c r="I154" s="7"/>
      <c r="J154" s="7"/>
      <c r="K154" s="47">
        <v>3.0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48">
        <f t="shared" si="64"/>
        <v>1</v>
      </c>
      <c r="W154" s="48">
        <f t="shared" si="65"/>
        <v>4</v>
      </c>
      <c r="X154" s="48">
        <f t="shared" si="66"/>
        <v>5</v>
      </c>
      <c r="Y154" s="49">
        <f t="shared" si="67"/>
        <v>2250000</v>
      </c>
      <c r="Z154" s="4"/>
      <c r="AA154" s="4"/>
      <c r="AB154" s="4"/>
      <c r="AC154" s="3"/>
      <c r="AD154" s="3"/>
      <c r="AE154" s="2"/>
      <c r="AF154" s="3"/>
      <c r="AG154" s="3"/>
      <c r="AH154" s="3"/>
      <c r="AI154" s="2"/>
      <c r="AJ154" s="2"/>
      <c r="AK154" s="2"/>
      <c r="AL154" s="2"/>
      <c r="AM154" s="2"/>
      <c r="AN154" s="2"/>
      <c r="AO154" s="2"/>
      <c r="AP154" s="100"/>
      <c r="AQ154" s="2"/>
      <c r="AR154" s="2"/>
      <c r="AS154" s="3"/>
    </row>
    <row r="155">
      <c r="A155" s="7" t="s">
        <v>50</v>
      </c>
      <c r="B155" s="46">
        <v>575000.0</v>
      </c>
      <c r="C155" s="7"/>
      <c r="D155" s="47">
        <v>1.0</v>
      </c>
      <c r="E155" s="7"/>
      <c r="F155" s="7"/>
      <c r="G155" s="47">
        <v>6.0</v>
      </c>
      <c r="H155" s="7"/>
      <c r="I155" s="7"/>
      <c r="J155" s="7"/>
      <c r="K155" s="7"/>
      <c r="L155" s="7"/>
      <c r="M155" s="47">
        <v>1.0</v>
      </c>
      <c r="N155" s="7"/>
      <c r="O155" s="7"/>
      <c r="P155" s="7"/>
      <c r="Q155" s="7"/>
      <c r="R155" s="7"/>
      <c r="S155" s="7"/>
      <c r="T155" s="7"/>
      <c r="U155" s="7"/>
      <c r="V155" s="48">
        <f t="shared" si="64"/>
        <v>1</v>
      </c>
      <c r="W155" s="48">
        <f t="shared" si="65"/>
        <v>7</v>
      </c>
      <c r="X155" s="48">
        <f t="shared" si="66"/>
        <v>8</v>
      </c>
      <c r="Y155" s="49">
        <f t="shared" si="67"/>
        <v>4600000</v>
      </c>
      <c r="Z155" s="4"/>
      <c r="AA155" s="4"/>
      <c r="AB155" s="4"/>
      <c r="AC155" s="3"/>
      <c r="AD155" s="3"/>
      <c r="AE155" s="2"/>
      <c r="AF155" s="3"/>
      <c r="AG155" s="3"/>
      <c r="AH155" s="3"/>
      <c r="AI155" s="2"/>
      <c r="AJ155" s="2"/>
      <c r="AK155" s="2"/>
      <c r="AL155" s="2"/>
      <c r="AM155" s="2"/>
      <c r="AN155" s="2"/>
      <c r="AO155" s="2"/>
      <c r="AP155" s="100"/>
      <c r="AQ155" s="2"/>
      <c r="AR155" s="2"/>
      <c r="AS155" s="3"/>
    </row>
    <row r="156">
      <c r="A156" s="7" t="s">
        <v>53</v>
      </c>
      <c r="B156" s="53">
        <v>262000.0</v>
      </c>
      <c r="C156" s="7"/>
      <c r="D156" s="47">
        <v>1.0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47">
        <v>1.0</v>
      </c>
      <c r="R156" s="7"/>
      <c r="S156" s="47">
        <v>1.0</v>
      </c>
      <c r="T156" s="7"/>
      <c r="U156" s="7"/>
      <c r="V156" s="48">
        <f t="shared" si="64"/>
        <v>1</v>
      </c>
      <c r="W156" s="48">
        <f t="shared" si="65"/>
        <v>2</v>
      </c>
      <c r="X156" s="48">
        <f t="shared" si="66"/>
        <v>3</v>
      </c>
      <c r="Y156" s="49">
        <f t="shared" si="67"/>
        <v>786000</v>
      </c>
      <c r="Z156" s="4"/>
      <c r="AA156" s="4"/>
      <c r="AB156" s="4"/>
      <c r="AC156" s="3"/>
      <c r="AD156" s="3"/>
      <c r="AE156" s="2"/>
      <c r="AF156" s="3"/>
      <c r="AG156" s="3"/>
      <c r="AH156" s="3"/>
      <c r="AI156" s="2"/>
      <c r="AJ156" s="2"/>
      <c r="AK156" s="2"/>
      <c r="AL156" s="2"/>
      <c r="AM156" s="2"/>
      <c r="AN156" s="2"/>
      <c r="AO156" s="2"/>
      <c r="AP156" s="100"/>
      <c r="AQ156" s="2"/>
      <c r="AR156" s="2"/>
      <c r="AS156" s="3"/>
    </row>
    <row r="157">
      <c r="A157" s="7" t="s">
        <v>55</v>
      </c>
      <c r="B157" s="53">
        <v>185000.0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47">
        <v>1.0</v>
      </c>
      <c r="T157" s="7"/>
      <c r="U157" s="7"/>
      <c r="V157" s="54" t="str">
        <f t="shared" si="64"/>
        <v/>
      </c>
      <c r="W157" s="48">
        <f t="shared" si="65"/>
        <v>1</v>
      </c>
      <c r="X157" s="48">
        <f t="shared" si="66"/>
        <v>1</v>
      </c>
      <c r="Y157" s="49">
        <f t="shared" si="67"/>
        <v>185000</v>
      </c>
      <c r="Z157" s="4"/>
      <c r="AA157" s="4"/>
      <c r="AB157" s="4"/>
      <c r="AC157" s="3"/>
      <c r="AD157" s="3"/>
      <c r="AE157" s="2"/>
      <c r="AF157" s="3"/>
      <c r="AG157" s="3"/>
      <c r="AH157" s="3"/>
      <c r="AI157" s="2"/>
      <c r="AJ157" s="2"/>
      <c r="AK157" s="2"/>
      <c r="AL157" s="2"/>
      <c r="AM157" s="2"/>
      <c r="AN157" s="2"/>
      <c r="AO157" s="2"/>
      <c r="AP157" s="100"/>
      <c r="AQ157" s="2"/>
      <c r="AR157" s="2"/>
      <c r="AS157" s="3"/>
    </row>
    <row r="158">
      <c r="A158" s="7" t="s">
        <v>57</v>
      </c>
      <c r="B158" s="53">
        <v>242000.0</v>
      </c>
      <c r="C158" s="7"/>
      <c r="D158" s="47">
        <v>1.0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47">
        <v>1.0</v>
      </c>
      <c r="R158" s="7"/>
      <c r="S158" s="47">
        <v>1.0</v>
      </c>
      <c r="T158" s="7"/>
      <c r="U158" s="7"/>
      <c r="V158" s="48">
        <f t="shared" si="64"/>
        <v>1</v>
      </c>
      <c r="W158" s="48">
        <f t="shared" si="65"/>
        <v>2</v>
      </c>
      <c r="X158" s="48">
        <f t="shared" si="66"/>
        <v>3</v>
      </c>
      <c r="Y158" s="49">
        <f t="shared" si="67"/>
        <v>726000</v>
      </c>
      <c r="Z158" s="4"/>
      <c r="AA158" s="4"/>
      <c r="AB158" s="4"/>
      <c r="AC158" s="3"/>
      <c r="AD158" s="3"/>
      <c r="AE158" s="2"/>
      <c r="AF158" s="3"/>
      <c r="AG158" s="3"/>
      <c r="AH158" s="3"/>
      <c r="AI158" s="2"/>
      <c r="AJ158" s="2"/>
      <c r="AK158" s="2"/>
      <c r="AL158" s="2"/>
      <c r="AM158" s="2"/>
      <c r="AN158" s="2"/>
      <c r="AO158" s="2"/>
      <c r="AP158" s="100"/>
      <c r="AQ158" s="2"/>
      <c r="AR158" s="2"/>
      <c r="AS158" s="3"/>
    </row>
    <row r="159">
      <c r="A159" s="7" t="s">
        <v>60</v>
      </c>
      <c r="B159" s="53">
        <v>202000.0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47">
        <v>1.0</v>
      </c>
      <c r="R159" s="7"/>
      <c r="S159" s="47">
        <v>1.0</v>
      </c>
      <c r="T159" s="7"/>
      <c r="U159" s="7"/>
      <c r="V159" s="54" t="str">
        <f t="shared" si="64"/>
        <v/>
      </c>
      <c r="W159" s="48">
        <f t="shared" si="65"/>
        <v>2</v>
      </c>
      <c r="X159" s="48">
        <f t="shared" si="66"/>
        <v>2</v>
      </c>
      <c r="Y159" s="49">
        <f t="shared" si="67"/>
        <v>404000</v>
      </c>
      <c r="Z159" s="4"/>
      <c r="AA159" s="4"/>
      <c r="AB159" s="4"/>
      <c r="AC159" s="3"/>
      <c r="AD159" s="3"/>
      <c r="AE159" s="2"/>
      <c r="AF159" s="3"/>
      <c r="AG159" s="3"/>
      <c r="AH159" s="3"/>
      <c r="AI159" s="2"/>
      <c r="AJ159" s="2"/>
      <c r="AK159" s="2"/>
      <c r="AL159" s="2"/>
      <c r="AM159" s="2"/>
      <c r="AN159" s="2"/>
      <c r="AO159" s="2"/>
      <c r="AP159" s="100"/>
      <c r="AQ159" s="2"/>
      <c r="AR159" s="2"/>
      <c r="AS159" s="3"/>
    </row>
    <row r="160">
      <c r="A160" s="7" t="s">
        <v>61</v>
      </c>
      <c r="B160" s="53">
        <v>175000.0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47">
        <v>1.0</v>
      </c>
      <c r="R160" s="7"/>
      <c r="S160" s="47">
        <v>1.0</v>
      </c>
      <c r="T160" s="7"/>
      <c r="U160" s="7"/>
      <c r="V160" s="54" t="str">
        <f t="shared" si="64"/>
        <v/>
      </c>
      <c r="W160" s="48">
        <f t="shared" si="65"/>
        <v>2</v>
      </c>
      <c r="X160" s="48">
        <f t="shared" si="66"/>
        <v>2</v>
      </c>
      <c r="Y160" s="49">
        <f t="shared" si="67"/>
        <v>350000</v>
      </c>
      <c r="Z160" s="4"/>
      <c r="AA160" s="4"/>
      <c r="AB160" s="4"/>
      <c r="AC160" s="3"/>
      <c r="AD160" s="3"/>
      <c r="AE160" s="2"/>
      <c r="AF160" s="3"/>
      <c r="AG160" s="3"/>
      <c r="AH160" s="3"/>
      <c r="AI160" s="2"/>
      <c r="AJ160" s="2"/>
      <c r="AK160" s="2"/>
      <c r="AL160" s="2"/>
      <c r="AM160" s="2"/>
      <c r="AN160" s="2"/>
      <c r="AO160" s="2"/>
      <c r="AP160" s="100"/>
      <c r="AQ160" s="2"/>
      <c r="AR160" s="2"/>
      <c r="AS160" s="3"/>
    </row>
    <row r="161">
      <c r="A161" s="7" t="s">
        <v>62</v>
      </c>
      <c r="B161" s="53">
        <v>233000.0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54" t="str">
        <f t="shared" si="64"/>
        <v/>
      </c>
      <c r="W161" s="48">
        <f t="shared" si="65"/>
        <v>0</v>
      </c>
      <c r="X161" s="48">
        <f t="shared" si="66"/>
        <v>0</v>
      </c>
      <c r="Y161" s="49">
        <f t="shared" si="67"/>
        <v>0</v>
      </c>
      <c r="Z161" s="4"/>
      <c r="AA161" s="4"/>
      <c r="AB161" s="4"/>
      <c r="AC161" s="3"/>
      <c r="AD161" s="3"/>
      <c r="AE161" s="2"/>
      <c r="AF161" s="3"/>
      <c r="AG161" s="3"/>
      <c r="AH161" s="3"/>
      <c r="AI161" s="2"/>
      <c r="AJ161" s="2"/>
      <c r="AK161" s="2"/>
      <c r="AL161" s="2"/>
      <c r="AM161" s="2"/>
      <c r="AN161" s="2"/>
      <c r="AO161" s="2"/>
      <c r="AP161" s="100"/>
      <c r="AQ161" s="2"/>
      <c r="AR161" s="2"/>
      <c r="AS161" s="3"/>
    </row>
    <row r="162">
      <c r="A162" s="7" t="s">
        <v>63</v>
      </c>
      <c r="B162" s="8"/>
      <c r="C162" s="7"/>
      <c r="D162" s="47">
        <f>SUM(D152:D161)</f>
        <v>10</v>
      </c>
      <c r="E162" s="47">
        <f t="shared" ref="E162:U162" si="68">SUM(E152:E155)</f>
        <v>0</v>
      </c>
      <c r="F162" s="47">
        <f t="shared" si="68"/>
        <v>0</v>
      </c>
      <c r="G162" s="47">
        <f t="shared" si="68"/>
        <v>39</v>
      </c>
      <c r="H162" s="47">
        <f t="shared" si="68"/>
        <v>0</v>
      </c>
      <c r="I162" s="47">
        <f t="shared" si="68"/>
        <v>11</v>
      </c>
      <c r="J162" s="47">
        <f t="shared" si="68"/>
        <v>0</v>
      </c>
      <c r="K162" s="47">
        <f t="shared" si="68"/>
        <v>25</v>
      </c>
      <c r="L162" s="47">
        <f t="shared" si="68"/>
        <v>0</v>
      </c>
      <c r="M162" s="47">
        <f t="shared" si="68"/>
        <v>15</v>
      </c>
      <c r="N162" s="47">
        <f t="shared" si="68"/>
        <v>0</v>
      </c>
      <c r="O162" s="47">
        <f t="shared" si="68"/>
        <v>6</v>
      </c>
      <c r="P162" s="47">
        <f t="shared" si="68"/>
        <v>1</v>
      </c>
      <c r="Q162" s="47">
        <f t="shared" si="68"/>
        <v>4</v>
      </c>
      <c r="R162" s="47">
        <f t="shared" si="68"/>
        <v>0</v>
      </c>
      <c r="S162" s="47">
        <f t="shared" si="68"/>
        <v>0</v>
      </c>
      <c r="T162" s="47">
        <f t="shared" si="68"/>
        <v>0</v>
      </c>
      <c r="U162" s="47">
        <f t="shared" si="68"/>
        <v>0</v>
      </c>
      <c r="V162" s="48">
        <f t="shared" ref="V162:W162" si="69">SUM(V152:V161)</f>
        <v>10</v>
      </c>
      <c r="W162" s="48">
        <f t="shared" si="69"/>
        <v>109</v>
      </c>
      <c r="X162" s="48">
        <f t="shared" si="66"/>
        <v>119</v>
      </c>
      <c r="Y162" s="49">
        <f t="shared" si="67"/>
        <v>0</v>
      </c>
      <c r="Z162" s="4"/>
      <c r="AA162" s="4"/>
      <c r="AB162" s="4"/>
      <c r="AC162" s="3"/>
      <c r="AD162" s="3"/>
      <c r="AE162" s="2"/>
      <c r="AF162" s="3"/>
      <c r="AG162" s="3"/>
      <c r="AH162" s="3"/>
      <c r="AI162" s="2"/>
      <c r="AJ162" s="2"/>
      <c r="AK162" s="2"/>
      <c r="AL162" s="2"/>
      <c r="AM162" s="2"/>
      <c r="AN162" s="2"/>
      <c r="AO162" s="2"/>
      <c r="AP162" s="100"/>
      <c r="AQ162" s="2"/>
      <c r="AR162" s="2"/>
      <c r="AS162" s="3"/>
    </row>
    <row r="163">
      <c r="A163" s="7" t="s">
        <v>64</v>
      </c>
      <c r="B163" s="8"/>
      <c r="C163" s="7"/>
      <c r="D163" s="7"/>
      <c r="E163" s="7"/>
      <c r="F163" s="7"/>
      <c r="G163" s="47">
        <f>G162-H162</f>
        <v>39</v>
      </c>
      <c r="H163" s="7"/>
      <c r="I163" s="47">
        <f>I162-J162</f>
        <v>11</v>
      </c>
      <c r="J163" s="7"/>
      <c r="K163" s="47">
        <f>K162-L162</f>
        <v>25</v>
      </c>
      <c r="L163" s="7"/>
      <c r="M163" s="47">
        <f>M162-N162</f>
        <v>15</v>
      </c>
      <c r="N163" s="7"/>
      <c r="O163" s="47">
        <f>O162-P162</f>
        <v>5</v>
      </c>
      <c r="P163" s="7"/>
      <c r="Q163" s="47">
        <f>Q162-R162</f>
        <v>4</v>
      </c>
      <c r="R163" s="7"/>
      <c r="S163" s="47">
        <f>S162-T162</f>
        <v>0</v>
      </c>
      <c r="T163" s="7"/>
      <c r="U163" s="7"/>
      <c r="V163" s="54"/>
      <c r="W163" s="54"/>
      <c r="X163" s="48">
        <f t="shared" ref="X163:Y163" si="70">sum(X152:X162)</f>
        <v>238</v>
      </c>
      <c r="Y163" s="49">
        <f t="shared" si="70"/>
        <v>43406000</v>
      </c>
      <c r="Z163" s="4"/>
      <c r="AA163" s="4"/>
      <c r="AB163" s="4"/>
      <c r="AC163" s="3"/>
      <c r="AD163" s="3"/>
      <c r="AE163" s="2"/>
      <c r="AF163" s="3"/>
      <c r="AG163" s="3"/>
      <c r="AH163" s="3"/>
      <c r="AI163" s="2"/>
      <c r="AJ163" s="2"/>
      <c r="AK163" s="2"/>
      <c r="AL163" s="2"/>
      <c r="AM163" s="2"/>
      <c r="AN163" s="2"/>
      <c r="AO163" s="2"/>
      <c r="AP163" s="100"/>
      <c r="AQ163" s="2"/>
      <c r="AR163" s="2"/>
      <c r="AS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  <c r="AA164" s="4"/>
      <c r="AB164" s="4"/>
      <c r="AC164" s="3"/>
      <c r="AD164" s="3"/>
      <c r="AE164" s="2"/>
      <c r="AF164" s="3"/>
      <c r="AG164" s="3"/>
      <c r="AH164" s="3"/>
      <c r="AI164" s="2"/>
      <c r="AJ164" s="2"/>
      <c r="AK164" s="2"/>
      <c r="AL164" s="2"/>
      <c r="AM164" s="2"/>
      <c r="AN164" s="2"/>
      <c r="AO164" s="2"/>
      <c r="AP164" s="100"/>
      <c r="AQ164" s="2"/>
      <c r="AR164" s="2"/>
      <c r="AS164" s="3"/>
    </row>
    <row r="165">
      <c r="A165" s="7"/>
      <c r="B165" s="8"/>
      <c r="C165" s="7"/>
      <c r="D165" s="9">
        <v>46003.0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  <c r="X165" s="6"/>
      <c r="Y165" s="6"/>
      <c r="Z165" s="4"/>
      <c r="AA165" s="4"/>
      <c r="AB165" s="4"/>
      <c r="AC165" s="3"/>
      <c r="AD165" s="3"/>
      <c r="AE165" s="2"/>
      <c r="AF165" s="3"/>
      <c r="AG165" s="3"/>
      <c r="AH165" s="3"/>
      <c r="AI165" s="2"/>
      <c r="AJ165" s="2"/>
      <c r="AK165" s="2"/>
      <c r="AL165" s="2"/>
      <c r="AM165" s="2"/>
      <c r="AN165" s="2"/>
      <c r="AO165" s="2"/>
      <c r="AP165" s="100"/>
      <c r="AQ165" s="2"/>
      <c r="AR165" s="2"/>
      <c r="AS165" s="3"/>
    </row>
    <row r="166">
      <c r="A166" s="70" t="s">
        <v>6</v>
      </c>
      <c r="B166" s="34" t="b">
        <v>0</v>
      </c>
      <c r="C166" s="7"/>
      <c r="D166" s="71" t="s">
        <v>7</v>
      </c>
      <c r="E166" s="11"/>
      <c r="F166" s="7"/>
      <c r="G166" s="71" t="s">
        <v>8</v>
      </c>
      <c r="H166" s="11"/>
      <c r="I166" s="71" t="s">
        <v>9</v>
      </c>
      <c r="J166" s="11"/>
      <c r="K166" s="72" t="s">
        <v>10</v>
      </c>
      <c r="L166" s="11"/>
      <c r="M166" s="71" t="s">
        <v>11</v>
      </c>
      <c r="N166" s="11"/>
      <c r="O166" s="71" t="s">
        <v>12</v>
      </c>
      <c r="P166" s="11"/>
      <c r="Q166" s="71" t="s">
        <v>13</v>
      </c>
      <c r="R166" s="11"/>
      <c r="S166" s="71" t="s">
        <v>14</v>
      </c>
      <c r="T166" s="11"/>
      <c r="U166" s="35" t="s">
        <v>15</v>
      </c>
      <c r="V166" s="73" t="s">
        <v>16</v>
      </c>
      <c r="W166" s="10"/>
      <c r="X166" s="10"/>
      <c r="Y166" s="11"/>
      <c r="Z166" s="4"/>
      <c r="AA166" s="4"/>
      <c r="AB166" s="4"/>
      <c r="AC166" s="3"/>
      <c r="AD166" s="3"/>
      <c r="AE166" s="2"/>
      <c r="AF166" s="3"/>
      <c r="AG166" s="3"/>
      <c r="AH166" s="3"/>
      <c r="AI166" s="2"/>
      <c r="AJ166" s="2"/>
      <c r="AK166" s="2"/>
      <c r="AL166" s="2"/>
      <c r="AM166" s="2"/>
      <c r="AN166" s="2"/>
      <c r="AO166" s="2"/>
      <c r="AP166" s="100"/>
      <c r="AQ166" s="2"/>
      <c r="AR166" s="2"/>
      <c r="AS166" s="3"/>
    </row>
    <row r="167">
      <c r="A167" s="7"/>
      <c r="B167" s="34" t="s">
        <v>28</v>
      </c>
      <c r="C167" s="35" t="s">
        <v>29</v>
      </c>
      <c r="D167" s="35" t="s">
        <v>30</v>
      </c>
      <c r="E167" s="35" t="s">
        <v>31</v>
      </c>
      <c r="F167" s="35" t="s">
        <v>32</v>
      </c>
      <c r="G167" s="35" t="s">
        <v>33</v>
      </c>
      <c r="H167" s="35" t="s">
        <v>31</v>
      </c>
      <c r="I167" s="35" t="s">
        <v>33</v>
      </c>
      <c r="J167" s="35" t="s">
        <v>31</v>
      </c>
      <c r="K167" s="35" t="s">
        <v>33</v>
      </c>
      <c r="L167" s="35" t="s">
        <v>31</v>
      </c>
      <c r="M167" s="35" t="s">
        <v>33</v>
      </c>
      <c r="N167" s="35" t="s">
        <v>31</v>
      </c>
      <c r="O167" s="35" t="s">
        <v>33</v>
      </c>
      <c r="P167" s="35" t="s">
        <v>31</v>
      </c>
      <c r="Q167" s="35" t="s">
        <v>33</v>
      </c>
      <c r="R167" s="35" t="s">
        <v>31</v>
      </c>
      <c r="S167" s="35" t="s">
        <v>33</v>
      </c>
      <c r="T167" s="35" t="s">
        <v>31</v>
      </c>
      <c r="U167" s="35" t="s">
        <v>34</v>
      </c>
      <c r="V167" s="36" t="s">
        <v>7</v>
      </c>
      <c r="W167" s="36" t="s">
        <v>35</v>
      </c>
      <c r="X167" s="36" t="s">
        <v>36</v>
      </c>
      <c r="Y167" s="36" t="s">
        <v>37</v>
      </c>
      <c r="Z167" s="4"/>
      <c r="AA167" s="4"/>
      <c r="AB167" s="4"/>
      <c r="AC167" s="3"/>
      <c r="AD167" s="3"/>
      <c r="AE167" s="2"/>
      <c r="AF167" s="3"/>
      <c r="AG167" s="3"/>
      <c r="AH167" s="3"/>
      <c r="AI167" s="2"/>
      <c r="AJ167" s="2"/>
      <c r="AK167" s="2"/>
      <c r="AL167" s="2"/>
      <c r="AM167" s="2"/>
      <c r="AN167" s="2"/>
      <c r="AO167" s="2"/>
      <c r="AP167" s="100"/>
      <c r="AQ167" s="2"/>
      <c r="AR167" s="2"/>
      <c r="AS167" s="3"/>
    </row>
    <row r="168">
      <c r="A168" s="7" t="s">
        <v>42</v>
      </c>
      <c r="B168" s="46">
        <v>335000.0</v>
      </c>
      <c r="C168" s="7"/>
      <c r="D168" s="47">
        <v>1.0</v>
      </c>
      <c r="E168" s="7"/>
      <c r="F168" s="7"/>
      <c r="G168" s="47">
        <v>14.0</v>
      </c>
      <c r="H168" s="7"/>
      <c r="I168" s="47">
        <v>8.0</v>
      </c>
      <c r="J168" s="7"/>
      <c r="K168" s="47">
        <v>22.0</v>
      </c>
      <c r="L168" s="7"/>
      <c r="M168" s="47">
        <v>11.0</v>
      </c>
      <c r="N168" s="7"/>
      <c r="O168" s="7"/>
      <c r="P168" s="7"/>
      <c r="Q168" s="47">
        <v>1.0</v>
      </c>
      <c r="R168" s="7"/>
      <c r="S168" s="7"/>
      <c r="T168" s="7"/>
      <c r="U168" s="7"/>
      <c r="V168" s="48">
        <f t="shared" ref="V168:V177" si="71">D168</f>
        <v>1</v>
      </c>
      <c r="W168" s="48">
        <f t="shared" ref="W168:W177" si="72">G168+I168+K168+M168+O168+Q168+S168</f>
        <v>56</v>
      </c>
      <c r="X168" s="48">
        <f t="shared" ref="X168:X178" si="73">V168+W168</f>
        <v>57</v>
      </c>
      <c r="Y168" s="49">
        <f t="shared" ref="Y168:Y178" si="74">B168*X168</f>
        <v>19095000</v>
      </c>
      <c r="Z168" s="4"/>
      <c r="AA168" s="4"/>
      <c r="AB168" s="4"/>
      <c r="AC168" s="3"/>
      <c r="AD168" s="3"/>
      <c r="AE168" s="2"/>
      <c r="AF168" s="3"/>
      <c r="AG168" s="3"/>
      <c r="AH168" s="3"/>
      <c r="AI168" s="2"/>
      <c r="AJ168" s="2"/>
      <c r="AK168" s="2"/>
      <c r="AL168" s="2"/>
      <c r="AM168" s="2"/>
      <c r="AN168" s="2"/>
      <c r="AO168" s="2"/>
      <c r="AP168" s="100"/>
      <c r="AQ168" s="2"/>
      <c r="AR168" s="2"/>
      <c r="AS168" s="3"/>
    </row>
    <row r="169">
      <c r="A169" s="7" t="s">
        <v>45</v>
      </c>
      <c r="B169" s="13">
        <v>395000.0</v>
      </c>
      <c r="C169" s="6"/>
      <c r="D169" s="47">
        <v>5.0</v>
      </c>
      <c r="E169" s="7"/>
      <c r="F169" s="7"/>
      <c r="G169" s="47">
        <v>18.0</v>
      </c>
      <c r="H169" s="7"/>
      <c r="I169" s="47">
        <v>3.0</v>
      </c>
      <c r="J169" s="7"/>
      <c r="K169" s="7"/>
      <c r="L169" s="7"/>
      <c r="M169" s="47">
        <v>3.0</v>
      </c>
      <c r="N169" s="7"/>
      <c r="O169" s="47">
        <v>5.0</v>
      </c>
      <c r="P169" s="7"/>
      <c r="Q169" s="47">
        <v>3.0</v>
      </c>
      <c r="R169" s="7"/>
      <c r="S169" s="7"/>
      <c r="T169" s="7"/>
      <c r="U169" s="7"/>
      <c r="V169" s="48">
        <f t="shared" si="71"/>
        <v>5</v>
      </c>
      <c r="W169" s="48">
        <f t="shared" si="72"/>
        <v>32</v>
      </c>
      <c r="X169" s="48">
        <f t="shared" si="73"/>
        <v>37</v>
      </c>
      <c r="Y169" s="49">
        <f t="shared" si="74"/>
        <v>14615000</v>
      </c>
      <c r="Z169" s="4"/>
      <c r="AA169" s="4"/>
      <c r="AB169" s="4"/>
      <c r="AC169" s="3"/>
      <c r="AD169" s="3"/>
      <c r="AE169" s="2"/>
      <c r="AF169" s="3"/>
      <c r="AG169" s="3"/>
      <c r="AH169" s="3"/>
      <c r="AI169" s="2"/>
      <c r="AJ169" s="2"/>
      <c r="AK169" s="2"/>
      <c r="AL169" s="2"/>
      <c r="AM169" s="2"/>
      <c r="AN169" s="2"/>
      <c r="AO169" s="2"/>
      <c r="AP169" s="100"/>
      <c r="AQ169" s="2"/>
      <c r="AR169" s="2"/>
      <c r="AS169" s="3"/>
    </row>
    <row r="170">
      <c r="A170" s="7" t="s">
        <v>48</v>
      </c>
      <c r="B170" s="46">
        <v>450000.0</v>
      </c>
      <c r="C170" s="7"/>
      <c r="D170" s="47">
        <v>1.0</v>
      </c>
      <c r="E170" s="7"/>
      <c r="F170" s="7"/>
      <c r="G170" s="47">
        <v>1.0</v>
      </c>
      <c r="H170" s="7"/>
      <c r="I170" s="7"/>
      <c r="J170" s="7"/>
      <c r="K170" s="47">
        <v>3.0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48">
        <f t="shared" si="71"/>
        <v>1</v>
      </c>
      <c r="W170" s="48">
        <f t="shared" si="72"/>
        <v>4</v>
      </c>
      <c r="X170" s="48">
        <f t="shared" si="73"/>
        <v>5</v>
      </c>
      <c r="Y170" s="49">
        <f t="shared" si="74"/>
        <v>2250000</v>
      </c>
      <c r="Z170" s="4"/>
      <c r="AA170" s="4"/>
      <c r="AB170" s="4"/>
      <c r="AC170" s="3"/>
      <c r="AD170" s="3"/>
      <c r="AE170" s="2"/>
      <c r="AF170" s="3"/>
      <c r="AG170" s="3"/>
      <c r="AH170" s="3"/>
      <c r="AI170" s="2"/>
      <c r="AJ170" s="2"/>
      <c r="AK170" s="2"/>
      <c r="AL170" s="2"/>
      <c r="AM170" s="2"/>
      <c r="AN170" s="2"/>
      <c r="AO170" s="2"/>
      <c r="AP170" s="100"/>
      <c r="AQ170" s="2"/>
      <c r="AR170" s="2"/>
      <c r="AS170" s="3"/>
    </row>
    <row r="171">
      <c r="A171" s="7" t="s">
        <v>50</v>
      </c>
      <c r="B171" s="46">
        <v>575000.0</v>
      </c>
      <c r="C171" s="7"/>
      <c r="D171" s="47">
        <v>1.0</v>
      </c>
      <c r="E171" s="7"/>
      <c r="F171" s="7"/>
      <c r="G171" s="47">
        <v>6.0</v>
      </c>
      <c r="H171" s="7"/>
      <c r="I171" s="7"/>
      <c r="J171" s="7"/>
      <c r="K171" s="7"/>
      <c r="L171" s="7"/>
      <c r="M171" s="47">
        <v>1.0</v>
      </c>
      <c r="N171" s="7"/>
      <c r="O171" s="7"/>
      <c r="P171" s="7"/>
      <c r="Q171" s="7"/>
      <c r="R171" s="7"/>
      <c r="S171" s="7"/>
      <c r="T171" s="7"/>
      <c r="U171" s="7"/>
      <c r="V171" s="48">
        <f t="shared" si="71"/>
        <v>1</v>
      </c>
      <c r="W171" s="48">
        <f t="shared" si="72"/>
        <v>7</v>
      </c>
      <c r="X171" s="48">
        <f t="shared" si="73"/>
        <v>8</v>
      </c>
      <c r="Y171" s="49">
        <f t="shared" si="74"/>
        <v>4600000</v>
      </c>
      <c r="Z171" s="4"/>
      <c r="AA171" s="4"/>
      <c r="AB171" s="4"/>
      <c r="AC171" s="3"/>
      <c r="AD171" s="3"/>
      <c r="AE171" s="2"/>
      <c r="AF171" s="3"/>
      <c r="AG171" s="3"/>
      <c r="AH171" s="3"/>
      <c r="AI171" s="2"/>
      <c r="AJ171" s="2"/>
      <c r="AK171" s="2"/>
      <c r="AL171" s="2"/>
      <c r="AM171" s="2"/>
      <c r="AN171" s="2"/>
      <c r="AO171" s="2"/>
      <c r="AP171" s="100"/>
      <c r="AQ171" s="2"/>
      <c r="AR171" s="2"/>
      <c r="AS171" s="3"/>
    </row>
    <row r="172">
      <c r="A172" s="7" t="s">
        <v>53</v>
      </c>
      <c r="B172" s="53">
        <v>262000.0</v>
      </c>
      <c r="C172" s="7"/>
      <c r="D172" s="47">
        <v>1.0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47">
        <v>1.0</v>
      </c>
      <c r="R172" s="7"/>
      <c r="S172" s="47">
        <v>1.0</v>
      </c>
      <c r="T172" s="7"/>
      <c r="U172" s="7"/>
      <c r="V172" s="48">
        <f t="shared" si="71"/>
        <v>1</v>
      </c>
      <c r="W172" s="48">
        <f t="shared" si="72"/>
        <v>2</v>
      </c>
      <c r="X172" s="48">
        <f t="shared" si="73"/>
        <v>3</v>
      </c>
      <c r="Y172" s="49">
        <f t="shared" si="74"/>
        <v>786000</v>
      </c>
      <c r="Z172" s="4"/>
      <c r="AA172" s="4"/>
      <c r="AB172" s="4"/>
      <c r="AC172" s="3"/>
      <c r="AD172" s="3"/>
      <c r="AE172" s="2"/>
      <c r="AF172" s="3"/>
      <c r="AG172" s="3"/>
      <c r="AH172" s="3"/>
      <c r="AI172" s="2"/>
      <c r="AJ172" s="2"/>
      <c r="AK172" s="2"/>
      <c r="AL172" s="2"/>
      <c r="AM172" s="2"/>
      <c r="AN172" s="2"/>
      <c r="AO172" s="2"/>
      <c r="AP172" s="100"/>
      <c r="AQ172" s="2"/>
      <c r="AR172" s="2"/>
      <c r="AS172" s="3"/>
    </row>
    <row r="173">
      <c r="A173" s="7" t="s">
        <v>55</v>
      </c>
      <c r="B173" s="53">
        <v>185000.0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47">
        <v>1.0</v>
      </c>
      <c r="T173" s="7"/>
      <c r="U173" s="7"/>
      <c r="V173" s="54" t="str">
        <f t="shared" si="71"/>
        <v/>
      </c>
      <c r="W173" s="48">
        <f t="shared" si="72"/>
        <v>1</v>
      </c>
      <c r="X173" s="48">
        <f t="shared" si="73"/>
        <v>1</v>
      </c>
      <c r="Y173" s="49">
        <f t="shared" si="74"/>
        <v>185000</v>
      </c>
      <c r="Z173" s="4"/>
      <c r="AA173" s="4"/>
      <c r="AB173" s="4"/>
      <c r="AC173" s="3"/>
      <c r="AD173" s="3"/>
      <c r="AE173" s="2"/>
      <c r="AF173" s="3"/>
      <c r="AG173" s="3"/>
      <c r="AH173" s="3"/>
      <c r="AI173" s="2"/>
      <c r="AJ173" s="2"/>
      <c r="AK173" s="2"/>
      <c r="AL173" s="2"/>
      <c r="AM173" s="2"/>
      <c r="AN173" s="2"/>
      <c r="AO173" s="2"/>
      <c r="AP173" s="100"/>
      <c r="AQ173" s="2"/>
      <c r="AR173" s="2"/>
      <c r="AS173" s="3"/>
    </row>
    <row r="174">
      <c r="A174" s="7" t="s">
        <v>57</v>
      </c>
      <c r="B174" s="53">
        <v>242000.0</v>
      </c>
      <c r="C174" s="7"/>
      <c r="D174" s="47">
        <v>1.0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47">
        <v>1.0</v>
      </c>
      <c r="R174" s="7"/>
      <c r="S174" s="47">
        <v>1.0</v>
      </c>
      <c r="T174" s="7"/>
      <c r="U174" s="7"/>
      <c r="V174" s="48">
        <f t="shared" si="71"/>
        <v>1</v>
      </c>
      <c r="W174" s="48">
        <f t="shared" si="72"/>
        <v>2</v>
      </c>
      <c r="X174" s="48">
        <f t="shared" si="73"/>
        <v>3</v>
      </c>
      <c r="Y174" s="49">
        <f t="shared" si="74"/>
        <v>726000</v>
      </c>
      <c r="Z174" s="4"/>
      <c r="AA174" s="4"/>
      <c r="AB174" s="4"/>
      <c r="AC174" s="3"/>
      <c r="AD174" s="3"/>
      <c r="AE174" s="2"/>
      <c r="AF174" s="3"/>
      <c r="AG174" s="3"/>
      <c r="AH174" s="3"/>
      <c r="AI174" s="2"/>
      <c r="AJ174" s="2"/>
      <c r="AK174" s="2"/>
      <c r="AL174" s="2"/>
      <c r="AM174" s="2"/>
      <c r="AN174" s="2"/>
      <c r="AO174" s="2"/>
      <c r="AP174" s="100"/>
      <c r="AQ174" s="2"/>
      <c r="AR174" s="2"/>
      <c r="AS174" s="3"/>
    </row>
    <row r="175">
      <c r="A175" s="7" t="s">
        <v>60</v>
      </c>
      <c r="B175" s="53">
        <v>202000.0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47">
        <v>1.0</v>
      </c>
      <c r="R175" s="7"/>
      <c r="S175" s="47">
        <v>1.0</v>
      </c>
      <c r="T175" s="7"/>
      <c r="U175" s="7"/>
      <c r="V175" s="54" t="str">
        <f t="shared" si="71"/>
        <v/>
      </c>
      <c r="W175" s="48">
        <f t="shared" si="72"/>
        <v>2</v>
      </c>
      <c r="X175" s="48">
        <f t="shared" si="73"/>
        <v>2</v>
      </c>
      <c r="Y175" s="49">
        <f t="shared" si="74"/>
        <v>404000</v>
      </c>
      <c r="Z175" s="4"/>
      <c r="AA175" s="4"/>
      <c r="AB175" s="4"/>
      <c r="AC175" s="3"/>
      <c r="AD175" s="3"/>
      <c r="AE175" s="2"/>
      <c r="AF175" s="3"/>
      <c r="AG175" s="3"/>
      <c r="AH175" s="3"/>
      <c r="AI175" s="2"/>
      <c r="AJ175" s="2"/>
      <c r="AK175" s="2"/>
      <c r="AL175" s="2"/>
      <c r="AM175" s="2"/>
      <c r="AN175" s="2"/>
      <c r="AO175" s="2"/>
      <c r="AP175" s="100"/>
      <c r="AQ175" s="2"/>
      <c r="AR175" s="2"/>
      <c r="AS175" s="3"/>
    </row>
    <row r="176">
      <c r="A176" s="7" t="s">
        <v>61</v>
      </c>
      <c r="B176" s="53">
        <v>175000.0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47">
        <v>1.0</v>
      </c>
      <c r="R176" s="7"/>
      <c r="S176" s="47">
        <v>1.0</v>
      </c>
      <c r="T176" s="7"/>
      <c r="U176" s="7"/>
      <c r="V176" s="54" t="str">
        <f t="shared" si="71"/>
        <v/>
      </c>
      <c r="W176" s="48">
        <f t="shared" si="72"/>
        <v>2</v>
      </c>
      <c r="X176" s="48">
        <f t="shared" si="73"/>
        <v>2</v>
      </c>
      <c r="Y176" s="49">
        <f t="shared" si="74"/>
        <v>350000</v>
      </c>
      <c r="Z176" s="4"/>
      <c r="AA176" s="4"/>
      <c r="AB176" s="4"/>
      <c r="AC176" s="3"/>
      <c r="AD176" s="3"/>
      <c r="AE176" s="2"/>
      <c r="AF176" s="3"/>
      <c r="AG176" s="3"/>
      <c r="AH176" s="3"/>
      <c r="AI176" s="2"/>
      <c r="AJ176" s="2"/>
      <c r="AK176" s="2"/>
      <c r="AL176" s="2"/>
      <c r="AM176" s="2"/>
      <c r="AN176" s="2"/>
      <c r="AO176" s="2"/>
      <c r="AP176" s="100"/>
      <c r="AQ176" s="2"/>
      <c r="AR176" s="2"/>
      <c r="AS176" s="3"/>
    </row>
    <row r="177">
      <c r="A177" s="7" t="s">
        <v>62</v>
      </c>
      <c r="B177" s="53">
        <v>233000.0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54" t="str">
        <f t="shared" si="71"/>
        <v/>
      </c>
      <c r="W177" s="48">
        <f t="shared" si="72"/>
        <v>0</v>
      </c>
      <c r="X177" s="48">
        <f t="shared" si="73"/>
        <v>0</v>
      </c>
      <c r="Y177" s="49">
        <f t="shared" si="74"/>
        <v>0</v>
      </c>
      <c r="Z177" s="4"/>
      <c r="AA177" s="4"/>
      <c r="AB177" s="4"/>
      <c r="AC177" s="3"/>
      <c r="AD177" s="3"/>
      <c r="AE177" s="2"/>
      <c r="AF177" s="3"/>
      <c r="AG177" s="3"/>
      <c r="AH177" s="3"/>
      <c r="AI177" s="2"/>
      <c r="AJ177" s="2"/>
      <c r="AK177" s="2"/>
      <c r="AL177" s="2"/>
      <c r="AM177" s="2"/>
      <c r="AN177" s="2"/>
      <c r="AO177" s="2"/>
      <c r="AP177" s="100"/>
      <c r="AQ177" s="2"/>
      <c r="AR177" s="2"/>
      <c r="AS177" s="3"/>
    </row>
    <row r="178">
      <c r="A178" s="7" t="s">
        <v>63</v>
      </c>
      <c r="B178" s="8"/>
      <c r="C178" s="7"/>
      <c r="D178" s="47">
        <f>SUM(D168:D177)</f>
        <v>10</v>
      </c>
      <c r="E178" s="47">
        <f t="shared" ref="E178:R178" si="75">SUM(E168:E171)</f>
        <v>0</v>
      </c>
      <c r="F178" s="47">
        <f t="shared" si="75"/>
        <v>0</v>
      </c>
      <c r="G178" s="47">
        <f t="shared" si="75"/>
        <v>39</v>
      </c>
      <c r="H178" s="47">
        <f t="shared" si="75"/>
        <v>0</v>
      </c>
      <c r="I178" s="47">
        <f t="shared" si="75"/>
        <v>11</v>
      </c>
      <c r="J178" s="47">
        <f t="shared" si="75"/>
        <v>0</v>
      </c>
      <c r="K178" s="47">
        <f t="shared" si="75"/>
        <v>25</v>
      </c>
      <c r="L178" s="47">
        <f t="shared" si="75"/>
        <v>0</v>
      </c>
      <c r="M178" s="47">
        <f t="shared" si="75"/>
        <v>15</v>
      </c>
      <c r="N178" s="47">
        <f t="shared" si="75"/>
        <v>0</v>
      </c>
      <c r="O178" s="47">
        <f t="shared" si="75"/>
        <v>5</v>
      </c>
      <c r="P178" s="47">
        <f t="shared" si="75"/>
        <v>0</v>
      </c>
      <c r="Q178" s="47">
        <f t="shared" si="75"/>
        <v>4</v>
      </c>
      <c r="R178" s="47">
        <f t="shared" si="75"/>
        <v>0</v>
      </c>
      <c r="S178" s="47">
        <f t="shared" ref="S178:T178" si="76">SUM(S162:S165)</f>
        <v>0</v>
      </c>
      <c r="T178" s="47">
        <f t="shared" si="76"/>
        <v>0</v>
      </c>
      <c r="U178" s="47">
        <f>SUM(U168:U171)</f>
        <v>0</v>
      </c>
      <c r="V178" s="101">
        <f t="shared" ref="V178:W178" si="77">SUM(V168:V177)</f>
        <v>10</v>
      </c>
      <c r="W178" s="101">
        <f t="shared" si="77"/>
        <v>108</v>
      </c>
      <c r="X178" s="48">
        <f t="shared" si="73"/>
        <v>118</v>
      </c>
      <c r="Y178" s="49">
        <f t="shared" si="74"/>
        <v>0</v>
      </c>
      <c r="Z178" s="4"/>
      <c r="AA178" s="4"/>
      <c r="AB178" s="4"/>
      <c r="AC178" s="3"/>
      <c r="AD178" s="3"/>
      <c r="AE178" s="2"/>
      <c r="AF178" s="3"/>
      <c r="AG178" s="3"/>
      <c r="AH178" s="3"/>
      <c r="AI178" s="2"/>
      <c r="AJ178" s="2"/>
      <c r="AK178" s="2"/>
      <c r="AL178" s="2"/>
      <c r="AM178" s="2"/>
      <c r="AN178" s="2"/>
      <c r="AO178" s="2"/>
      <c r="AP178" s="100"/>
      <c r="AQ178" s="2"/>
      <c r="AR178" s="2"/>
      <c r="AS178" s="3"/>
    </row>
    <row r="179">
      <c r="A179" s="7" t="s">
        <v>64</v>
      </c>
      <c r="B179" s="8"/>
      <c r="C179" s="7"/>
      <c r="D179" s="7"/>
      <c r="E179" s="7"/>
      <c r="F179" s="7"/>
      <c r="G179" s="47">
        <f>G178-H178</f>
        <v>39</v>
      </c>
      <c r="H179" s="7"/>
      <c r="I179" s="47">
        <f>I178-J178</f>
        <v>11</v>
      </c>
      <c r="J179" s="7"/>
      <c r="K179" s="47">
        <f>K178-L178</f>
        <v>25</v>
      </c>
      <c r="L179" s="7"/>
      <c r="M179" s="47">
        <f>M178-N178</f>
        <v>15</v>
      </c>
      <c r="N179" s="7"/>
      <c r="O179" s="47">
        <f>O178-P178</f>
        <v>5</v>
      </c>
      <c r="P179" s="7"/>
      <c r="Q179" s="47">
        <f>Q178-R178</f>
        <v>4</v>
      </c>
      <c r="R179" s="7"/>
      <c r="S179" s="47">
        <f>S178-T178</f>
        <v>0</v>
      </c>
      <c r="T179" s="7"/>
      <c r="U179" s="7"/>
      <c r="V179" s="54"/>
      <c r="W179" s="54"/>
      <c r="X179" s="48">
        <f t="shared" ref="X179:Y179" si="78">sum(X168:X178)</f>
        <v>236</v>
      </c>
      <c r="Y179" s="49">
        <f t="shared" si="78"/>
        <v>43011000</v>
      </c>
      <c r="Z179" s="4"/>
      <c r="AA179" s="4"/>
      <c r="AB179" s="4"/>
      <c r="AC179" s="3"/>
      <c r="AD179" s="3"/>
      <c r="AE179" s="2"/>
      <c r="AF179" s="3"/>
      <c r="AG179" s="3"/>
      <c r="AH179" s="3"/>
      <c r="AI179" s="2"/>
      <c r="AJ179" s="2"/>
      <c r="AK179" s="2"/>
      <c r="AL179" s="2"/>
      <c r="AM179" s="2"/>
      <c r="AN179" s="2"/>
      <c r="AO179" s="2"/>
      <c r="AP179" s="100"/>
      <c r="AQ179" s="2"/>
      <c r="AR179" s="2"/>
      <c r="AS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  <c r="AA180" s="4"/>
      <c r="AB180" s="4"/>
      <c r="AC180" s="3"/>
      <c r="AD180" s="3"/>
      <c r="AE180" s="2"/>
      <c r="AF180" s="3"/>
      <c r="AG180" s="3"/>
      <c r="AH180" s="3"/>
      <c r="AI180" s="2"/>
      <c r="AJ180" s="2"/>
      <c r="AK180" s="2"/>
      <c r="AL180" s="2"/>
      <c r="AM180" s="2"/>
      <c r="AN180" s="2"/>
      <c r="AO180" s="2"/>
      <c r="AP180" s="100"/>
      <c r="AQ180" s="2"/>
      <c r="AR180" s="2"/>
      <c r="AS180" s="3"/>
    </row>
    <row r="181">
      <c r="A181" s="7"/>
      <c r="B181" s="8"/>
      <c r="C181" s="7"/>
      <c r="D181" s="9">
        <v>46004.0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  <c r="X181" s="6"/>
      <c r="Y181" s="6"/>
      <c r="Z181" s="4"/>
      <c r="AA181" s="4"/>
      <c r="AB181" s="4"/>
      <c r="AC181" s="3"/>
      <c r="AD181" s="3"/>
      <c r="AE181" s="2"/>
      <c r="AF181" s="3"/>
      <c r="AG181" s="3"/>
      <c r="AH181" s="3"/>
      <c r="AI181" s="2"/>
      <c r="AJ181" s="2"/>
      <c r="AK181" s="2"/>
      <c r="AL181" s="2"/>
      <c r="AM181" s="2"/>
      <c r="AN181" s="2"/>
      <c r="AO181" s="2"/>
      <c r="AP181" s="100"/>
      <c r="AQ181" s="2"/>
      <c r="AR181" s="2"/>
      <c r="AS181" s="3"/>
    </row>
    <row r="182">
      <c r="A182" s="70" t="s">
        <v>6</v>
      </c>
      <c r="B182" s="34" t="b">
        <v>0</v>
      </c>
      <c r="C182" s="7"/>
      <c r="D182" s="71" t="s">
        <v>7</v>
      </c>
      <c r="E182" s="11"/>
      <c r="F182" s="7"/>
      <c r="G182" s="71" t="s">
        <v>8</v>
      </c>
      <c r="H182" s="11"/>
      <c r="I182" s="71" t="s">
        <v>9</v>
      </c>
      <c r="J182" s="11"/>
      <c r="K182" s="72" t="s">
        <v>10</v>
      </c>
      <c r="L182" s="11"/>
      <c r="M182" s="71" t="s">
        <v>11</v>
      </c>
      <c r="N182" s="11"/>
      <c r="O182" s="71" t="s">
        <v>12</v>
      </c>
      <c r="P182" s="11"/>
      <c r="Q182" s="71" t="s">
        <v>13</v>
      </c>
      <c r="R182" s="11"/>
      <c r="S182" s="71" t="s">
        <v>14</v>
      </c>
      <c r="T182" s="11"/>
      <c r="U182" s="35" t="s">
        <v>15</v>
      </c>
      <c r="V182" s="73" t="s">
        <v>16</v>
      </c>
      <c r="W182" s="10"/>
      <c r="X182" s="10"/>
      <c r="Y182" s="11"/>
      <c r="Z182" s="4"/>
      <c r="AA182" s="4"/>
      <c r="AB182" s="4"/>
      <c r="AC182" s="3"/>
      <c r="AD182" s="3"/>
      <c r="AE182" s="2"/>
      <c r="AF182" s="3"/>
      <c r="AG182" s="3"/>
      <c r="AH182" s="3"/>
      <c r="AI182" s="2"/>
      <c r="AJ182" s="2"/>
      <c r="AK182" s="2"/>
      <c r="AL182" s="2"/>
      <c r="AM182" s="2"/>
      <c r="AN182" s="2"/>
      <c r="AO182" s="2"/>
      <c r="AP182" s="100"/>
      <c r="AQ182" s="2"/>
      <c r="AR182" s="2"/>
      <c r="AS182" s="3"/>
    </row>
    <row r="183">
      <c r="A183" s="7"/>
      <c r="B183" s="34" t="s">
        <v>28</v>
      </c>
      <c r="C183" s="35" t="s">
        <v>29</v>
      </c>
      <c r="D183" s="35" t="s">
        <v>30</v>
      </c>
      <c r="E183" s="35" t="s">
        <v>31</v>
      </c>
      <c r="F183" s="35" t="s">
        <v>32</v>
      </c>
      <c r="G183" s="35" t="s">
        <v>33</v>
      </c>
      <c r="H183" s="35" t="s">
        <v>31</v>
      </c>
      <c r="I183" s="35" t="s">
        <v>33</v>
      </c>
      <c r="J183" s="35" t="s">
        <v>31</v>
      </c>
      <c r="K183" s="35" t="s">
        <v>33</v>
      </c>
      <c r="L183" s="35" t="s">
        <v>31</v>
      </c>
      <c r="M183" s="35" t="s">
        <v>33</v>
      </c>
      <c r="N183" s="35" t="s">
        <v>31</v>
      </c>
      <c r="O183" s="35" t="s">
        <v>33</v>
      </c>
      <c r="P183" s="35" t="s">
        <v>31</v>
      </c>
      <c r="Q183" s="35" t="s">
        <v>33</v>
      </c>
      <c r="R183" s="35" t="s">
        <v>31</v>
      </c>
      <c r="S183" s="35" t="s">
        <v>33</v>
      </c>
      <c r="T183" s="35" t="s">
        <v>31</v>
      </c>
      <c r="U183" s="35" t="s">
        <v>34</v>
      </c>
      <c r="V183" s="36" t="s">
        <v>7</v>
      </c>
      <c r="W183" s="36" t="s">
        <v>35</v>
      </c>
      <c r="X183" s="36" t="s">
        <v>36</v>
      </c>
      <c r="Y183" s="36" t="s">
        <v>37</v>
      </c>
      <c r="Z183" s="4"/>
      <c r="AA183" s="4"/>
      <c r="AB183" s="4"/>
      <c r="AC183" s="3"/>
      <c r="AD183" s="3"/>
      <c r="AE183" s="2"/>
      <c r="AF183" s="3"/>
      <c r="AG183" s="3"/>
      <c r="AH183" s="3"/>
      <c r="AI183" s="2"/>
      <c r="AJ183" s="2"/>
      <c r="AK183" s="2"/>
      <c r="AL183" s="2"/>
      <c r="AM183" s="2"/>
      <c r="AN183" s="2"/>
      <c r="AO183" s="2"/>
      <c r="AP183" s="100"/>
      <c r="AQ183" s="2"/>
      <c r="AR183" s="2"/>
      <c r="AS183" s="3"/>
    </row>
    <row r="184">
      <c r="A184" s="7" t="s">
        <v>42</v>
      </c>
      <c r="B184" s="46">
        <v>335000.0</v>
      </c>
      <c r="C184" s="7"/>
      <c r="D184" s="47">
        <v>1.0</v>
      </c>
      <c r="E184" s="7"/>
      <c r="F184" s="7"/>
      <c r="G184" s="47">
        <v>14.0</v>
      </c>
      <c r="H184" s="7"/>
      <c r="I184" s="47">
        <v>8.0</v>
      </c>
      <c r="J184" s="7"/>
      <c r="K184" s="47">
        <v>22.0</v>
      </c>
      <c r="L184" s="7"/>
      <c r="M184" s="47">
        <v>11.0</v>
      </c>
      <c r="N184" s="7"/>
      <c r="O184" s="7"/>
      <c r="P184" s="7"/>
      <c r="Q184" s="47">
        <v>1.0</v>
      </c>
      <c r="R184" s="7"/>
      <c r="S184" s="7"/>
      <c r="T184" s="7"/>
      <c r="U184" s="7"/>
      <c r="V184" s="48">
        <f t="shared" ref="V184:V193" si="79">D184</f>
        <v>1</v>
      </c>
      <c r="W184" s="48">
        <f t="shared" ref="W184:W193" si="80">G184+I184+K184+M184+O184+Q184+S184</f>
        <v>56</v>
      </c>
      <c r="X184" s="48">
        <f t="shared" ref="X184:X194" si="81">V184+W184</f>
        <v>57</v>
      </c>
      <c r="Y184" s="49">
        <f t="shared" ref="Y184:Y193" si="82">B184*X184</f>
        <v>19095000</v>
      </c>
      <c r="Z184" s="4"/>
      <c r="AA184" s="4"/>
      <c r="AB184" s="4"/>
      <c r="AC184" s="3"/>
      <c r="AD184" s="3"/>
      <c r="AE184" s="2"/>
      <c r="AF184" s="3"/>
      <c r="AG184" s="3"/>
      <c r="AH184" s="3"/>
      <c r="AI184" s="2"/>
      <c r="AJ184" s="2"/>
      <c r="AK184" s="2"/>
      <c r="AL184" s="2"/>
      <c r="AM184" s="2"/>
      <c r="AN184" s="2"/>
      <c r="AO184" s="2"/>
      <c r="AP184" s="100"/>
      <c r="AQ184" s="2"/>
      <c r="AR184" s="2"/>
      <c r="AS184" s="3"/>
    </row>
    <row r="185">
      <c r="A185" s="7" t="s">
        <v>45</v>
      </c>
      <c r="B185" s="13">
        <v>395000.0</v>
      </c>
      <c r="C185" s="6"/>
      <c r="D185" s="47">
        <v>5.0</v>
      </c>
      <c r="E185" s="7"/>
      <c r="F185" s="7"/>
      <c r="G185" s="47">
        <v>18.0</v>
      </c>
      <c r="H185" s="47">
        <v>1.0</v>
      </c>
      <c r="I185" s="47">
        <v>3.0</v>
      </c>
      <c r="J185" s="7"/>
      <c r="K185" s="7"/>
      <c r="L185" s="7"/>
      <c r="M185" s="47">
        <v>3.0</v>
      </c>
      <c r="N185" s="7"/>
      <c r="O185" s="47">
        <v>5.0</v>
      </c>
      <c r="P185" s="7"/>
      <c r="Q185" s="47">
        <v>3.0</v>
      </c>
      <c r="R185" s="7"/>
      <c r="S185" s="7"/>
      <c r="T185" s="7"/>
      <c r="U185" s="7"/>
      <c r="V185" s="48">
        <f t="shared" si="79"/>
        <v>5</v>
      </c>
      <c r="W185" s="48">
        <f t="shared" si="80"/>
        <v>32</v>
      </c>
      <c r="X185" s="48">
        <f t="shared" si="81"/>
        <v>37</v>
      </c>
      <c r="Y185" s="49">
        <f t="shared" si="82"/>
        <v>14615000</v>
      </c>
      <c r="Z185" s="4"/>
      <c r="AA185" s="4"/>
      <c r="AB185" s="4"/>
      <c r="AC185" s="3"/>
      <c r="AD185" s="3"/>
      <c r="AE185" s="2"/>
      <c r="AF185" s="3"/>
      <c r="AG185" s="3"/>
      <c r="AH185" s="3"/>
      <c r="AI185" s="2"/>
      <c r="AJ185" s="2"/>
      <c r="AK185" s="2"/>
      <c r="AL185" s="2"/>
      <c r="AM185" s="2"/>
      <c r="AN185" s="2"/>
      <c r="AO185" s="2"/>
      <c r="AP185" s="100"/>
      <c r="AQ185" s="2"/>
      <c r="AR185" s="2"/>
      <c r="AS185" s="3"/>
    </row>
    <row r="186">
      <c r="A186" s="7" t="s">
        <v>48</v>
      </c>
      <c r="B186" s="46">
        <v>450000.0</v>
      </c>
      <c r="C186" s="7"/>
      <c r="D186" s="47">
        <v>1.0</v>
      </c>
      <c r="E186" s="7"/>
      <c r="F186" s="7"/>
      <c r="G186" s="47">
        <v>1.0</v>
      </c>
      <c r="H186" s="7"/>
      <c r="I186" s="7"/>
      <c r="J186" s="7"/>
      <c r="K186" s="47">
        <v>3.0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8">
        <f t="shared" si="79"/>
        <v>1</v>
      </c>
      <c r="W186" s="48">
        <f t="shared" si="80"/>
        <v>4</v>
      </c>
      <c r="X186" s="48">
        <f t="shared" si="81"/>
        <v>5</v>
      </c>
      <c r="Y186" s="49">
        <f t="shared" si="82"/>
        <v>2250000</v>
      </c>
      <c r="Z186" s="4"/>
      <c r="AA186" s="4"/>
      <c r="AB186" s="4"/>
      <c r="AC186" s="3"/>
      <c r="AD186" s="3"/>
      <c r="AE186" s="2"/>
      <c r="AF186" s="3"/>
      <c r="AG186" s="3"/>
      <c r="AH186" s="3"/>
      <c r="AI186" s="2"/>
      <c r="AJ186" s="2"/>
      <c r="AK186" s="2"/>
      <c r="AL186" s="2"/>
      <c r="AM186" s="2"/>
      <c r="AN186" s="2"/>
      <c r="AO186" s="2"/>
      <c r="AP186" s="100"/>
      <c r="AQ186" s="2"/>
      <c r="AR186" s="2"/>
      <c r="AS186" s="3"/>
    </row>
    <row r="187">
      <c r="A187" s="7" t="s">
        <v>50</v>
      </c>
      <c r="B187" s="46">
        <v>575000.0</v>
      </c>
      <c r="C187" s="7"/>
      <c r="D187" s="47">
        <v>1.0</v>
      </c>
      <c r="E187" s="7"/>
      <c r="F187" s="7"/>
      <c r="G187" s="47">
        <v>6.0</v>
      </c>
      <c r="H187" s="47">
        <v>1.0</v>
      </c>
      <c r="I187" s="7"/>
      <c r="J187" s="7"/>
      <c r="K187" s="7"/>
      <c r="L187" s="7"/>
      <c r="M187" s="47">
        <v>1.0</v>
      </c>
      <c r="N187" s="7"/>
      <c r="O187" s="7"/>
      <c r="P187" s="7"/>
      <c r="Q187" s="7"/>
      <c r="R187" s="7"/>
      <c r="S187" s="7"/>
      <c r="T187" s="7"/>
      <c r="U187" s="7"/>
      <c r="V187" s="48">
        <f t="shared" si="79"/>
        <v>1</v>
      </c>
      <c r="W187" s="48">
        <f t="shared" si="80"/>
        <v>7</v>
      </c>
      <c r="X187" s="48">
        <f t="shared" si="81"/>
        <v>8</v>
      </c>
      <c r="Y187" s="49">
        <f t="shared" si="82"/>
        <v>4600000</v>
      </c>
      <c r="Z187" s="4"/>
      <c r="AA187" s="4"/>
      <c r="AB187" s="4"/>
      <c r="AC187" s="3"/>
      <c r="AD187" s="3"/>
      <c r="AE187" s="2"/>
      <c r="AF187" s="3"/>
      <c r="AG187" s="3"/>
      <c r="AH187" s="3"/>
      <c r="AI187" s="2"/>
      <c r="AJ187" s="2"/>
      <c r="AK187" s="2"/>
      <c r="AL187" s="2"/>
      <c r="AM187" s="2"/>
      <c r="AN187" s="2"/>
      <c r="AO187" s="2"/>
      <c r="AP187" s="100"/>
      <c r="AQ187" s="2"/>
      <c r="AR187" s="2"/>
      <c r="AS187" s="3"/>
    </row>
    <row r="188">
      <c r="A188" s="7" t="s">
        <v>53</v>
      </c>
      <c r="B188" s="53">
        <v>262000.0</v>
      </c>
      <c r="C188" s="7"/>
      <c r="D188" s="47">
        <v>1.0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47">
        <v>1.0</v>
      </c>
      <c r="R188" s="7"/>
      <c r="S188" s="47">
        <v>1.0</v>
      </c>
      <c r="T188" s="7"/>
      <c r="U188" s="7"/>
      <c r="V188" s="48">
        <f t="shared" si="79"/>
        <v>1</v>
      </c>
      <c r="W188" s="48">
        <f t="shared" si="80"/>
        <v>2</v>
      </c>
      <c r="X188" s="48">
        <f t="shared" si="81"/>
        <v>3</v>
      </c>
      <c r="Y188" s="49">
        <f t="shared" si="82"/>
        <v>786000</v>
      </c>
      <c r="Z188" s="4"/>
      <c r="AA188" s="4"/>
      <c r="AB188" s="4"/>
      <c r="AC188" s="3"/>
      <c r="AD188" s="3"/>
      <c r="AE188" s="2"/>
      <c r="AF188" s="3"/>
      <c r="AG188" s="3"/>
      <c r="AH188" s="3"/>
      <c r="AI188" s="2"/>
      <c r="AJ188" s="2"/>
      <c r="AK188" s="2"/>
      <c r="AL188" s="2"/>
      <c r="AM188" s="2"/>
      <c r="AN188" s="2"/>
      <c r="AO188" s="2"/>
      <c r="AP188" s="100"/>
      <c r="AQ188" s="2"/>
      <c r="AR188" s="2"/>
      <c r="AS188" s="3"/>
    </row>
    <row r="189">
      <c r="A189" s="7" t="s">
        <v>55</v>
      </c>
      <c r="B189" s="53">
        <v>185000.0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47">
        <v>1.0</v>
      </c>
      <c r="T189" s="7"/>
      <c r="U189" s="7"/>
      <c r="V189" s="54" t="str">
        <f t="shared" si="79"/>
        <v/>
      </c>
      <c r="W189" s="48">
        <f t="shared" si="80"/>
        <v>1</v>
      </c>
      <c r="X189" s="48">
        <f t="shared" si="81"/>
        <v>1</v>
      </c>
      <c r="Y189" s="49">
        <f t="shared" si="82"/>
        <v>185000</v>
      </c>
      <c r="Z189" s="4"/>
      <c r="AA189" s="4"/>
      <c r="AB189" s="4"/>
      <c r="AC189" s="3"/>
      <c r="AD189" s="3"/>
      <c r="AE189" s="2"/>
      <c r="AF189" s="3"/>
      <c r="AG189" s="3"/>
      <c r="AH189" s="3"/>
      <c r="AI189" s="2"/>
      <c r="AJ189" s="2"/>
      <c r="AK189" s="2"/>
      <c r="AL189" s="2"/>
      <c r="AM189" s="2"/>
      <c r="AN189" s="2"/>
      <c r="AO189" s="2"/>
      <c r="AP189" s="100"/>
      <c r="AQ189" s="2"/>
      <c r="AR189" s="2"/>
      <c r="AS189" s="3"/>
    </row>
    <row r="190">
      <c r="A190" s="7" t="s">
        <v>57</v>
      </c>
      <c r="B190" s="53">
        <v>242000.0</v>
      </c>
      <c r="C190" s="7"/>
      <c r="D190" s="47">
        <v>1.0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47">
        <v>1.0</v>
      </c>
      <c r="R190" s="7"/>
      <c r="S190" s="47">
        <v>1.0</v>
      </c>
      <c r="T190" s="7"/>
      <c r="U190" s="7"/>
      <c r="V190" s="48">
        <f t="shared" si="79"/>
        <v>1</v>
      </c>
      <c r="W190" s="48">
        <f t="shared" si="80"/>
        <v>2</v>
      </c>
      <c r="X190" s="48">
        <f t="shared" si="81"/>
        <v>3</v>
      </c>
      <c r="Y190" s="49">
        <f t="shared" si="82"/>
        <v>726000</v>
      </c>
      <c r="Z190" s="4"/>
      <c r="AA190" s="4"/>
      <c r="AB190" s="4"/>
      <c r="AC190" s="3"/>
      <c r="AD190" s="3"/>
      <c r="AE190" s="2"/>
      <c r="AF190" s="3"/>
      <c r="AG190" s="3"/>
      <c r="AH190" s="3"/>
      <c r="AI190" s="2"/>
      <c r="AJ190" s="2"/>
      <c r="AK190" s="2"/>
      <c r="AL190" s="2"/>
      <c r="AM190" s="2"/>
      <c r="AN190" s="2"/>
      <c r="AO190" s="2"/>
      <c r="AP190" s="100"/>
      <c r="AQ190" s="2"/>
      <c r="AR190" s="2"/>
      <c r="AS190" s="3"/>
    </row>
    <row r="191">
      <c r="A191" s="7" t="s">
        <v>60</v>
      </c>
      <c r="B191" s="53">
        <v>202000.0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47">
        <v>1.0</v>
      </c>
      <c r="R191" s="7"/>
      <c r="S191" s="47">
        <v>1.0</v>
      </c>
      <c r="T191" s="7"/>
      <c r="U191" s="7"/>
      <c r="V191" s="54" t="str">
        <f t="shared" si="79"/>
        <v/>
      </c>
      <c r="W191" s="48">
        <f t="shared" si="80"/>
        <v>2</v>
      </c>
      <c r="X191" s="48">
        <f t="shared" si="81"/>
        <v>2</v>
      </c>
      <c r="Y191" s="49">
        <f t="shared" si="82"/>
        <v>404000</v>
      </c>
      <c r="Z191" s="4"/>
      <c r="AA191" s="4"/>
      <c r="AB191" s="4"/>
      <c r="AC191" s="3"/>
      <c r="AD191" s="3"/>
      <c r="AE191" s="2"/>
      <c r="AF191" s="3"/>
      <c r="AG191" s="3"/>
      <c r="AH191" s="3"/>
      <c r="AI191" s="2"/>
      <c r="AJ191" s="2"/>
      <c r="AK191" s="2"/>
      <c r="AL191" s="2"/>
      <c r="AM191" s="2"/>
      <c r="AN191" s="2"/>
      <c r="AO191" s="2"/>
      <c r="AP191" s="100"/>
      <c r="AQ191" s="2"/>
      <c r="AR191" s="2"/>
      <c r="AS191" s="3"/>
    </row>
    <row r="192">
      <c r="A192" s="7" t="s">
        <v>61</v>
      </c>
      <c r="B192" s="53">
        <v>175000.0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47">
        <v>1.0</v>
      </c>
      <c r="R192" s="7"/>
      <c r="S192" s="47">
        <v>1.0</v>
      </c>
      <c r="T192" s="7"/>
      <c r="U192" s="7"/>
      <c r="V192" s="54" t="str">
        <f t="shared" si="79"/>
        <v/>
      </c>
      <c r="W192" s="48">
        <f t="shared" si="80"/>
        <v>2</v>
      </c>
      <c r="X192" s="48">
        <f t="shared" si="81"/>
        <v>2</v>
      </c>
      <c r="Y192" s="49">
        <f t="shared" si="82"/>
        <v>350000</v>
      </c>
      <c r="Z192" s="4"/>
      <c r="AA192" s="4"/>
      <c r="AB192" s="4"/>
      <c r="AC192" s="3"/>
      <c r="AD192" s="3"/>
      <c r="AE192" s="2"/>
      <c r="AF192" s="3"/>
      <c r="AG192" s="3"/>
      <c r="AH192" s="3"/>
      <c r="AI192" s="2"/>
      <c r="AJ192" s="2"/>
      <c r="AK192" s="2"/>
      <c r="AL192" s="2"/>
      <c r="AM192" s="2"/>
      <c r="AN192" s="2"/>
      <c r="AO192" s="2"/>
      <c r="AP192" s="100"/>
      <c r="AQ192" s="2"/>
      <c r="AR192" s="2"/>
      <c r="AS192" s="3"/>
    </row>
    <row r="193">
      <c r="A193" s="7" t="s">
        <v>62</v>
      </c>
      <c r="B193" s="53">
        <v>233000.0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54" t="str">
        <f t="shared" si="79"/>
        <v/>
      </c>
      <c r="W193" s="48">
        <f t="shared" si="80"/>
        <v>0</v>
      </c>
      <c r="X193" s="48">
        <f t="shared" si="81"/>
        <v>0</v>
      </c>
      <c r="Y193" s="49">
        <f t="shared" si="82"/>
        <v>0</v>
      </c>
      <c r="Z193" s="4"/>
      <c r="AA193" s="4"/>
      <c r="AB193" s="4"/>
      <c r="AC193" s="3"/>
      <c r="AD193" s="3"/>
      <c r="AE193" s="2"/>
      <c r="AF193" s="3"/>
      <c r="AG193" s="3"/>
      <c r="AH193" s="3"/>
      <c r="AI193" s="2"/>
      <c r="AJ193" s="2"/>
      <c r="AK193" s="2"/>
      <c r="AL193" s="2"/>
      <c r="AM193" s="2"/>
      <c r="AN193" s="2"/>
      <c r="AO193" s="2"/>
      <c r="AP193" s="100"/>
      <c r="AQ193" s="2"/>
      <c r="AR193" s="2"/>
      <c r="AS193" s="3"/>
    </row>
    <row r="194">
      <c r="A194" s="7" t="s">
        <v>63</v>
      </c>
      <c r="B194" s="8"/>
      <c r="C194" s="7"/>
      <c r="D194" s="47">
        <f t="shared" ref="D194:W194" si="83">SUM(D184:D193)</f>
        <v>10</v>
      </c>
      <c r="E194" s="47">
        <f t="shared" si="83"/>
        <v>0</v>
      </c>
      <c r="F194" s="47">
        <f t="shared" si="83"/>
        <v>0</v>
      </c>
      <c r="G194" s="47">
        <f t="shared" si="83"/>
        <v>39</v>
      </c>
      <c r="H194" s="47">
        <f t="shared" si="83"/>
        <v>2</v>
      </c>
      <c r="I194" s="47">
        <f t="shared" si="83"/>
        <v>11</v>
      </c>
      <c r="J194" s="47">
        <f t="shared" si="83"/>
        <v>0</v>
      </c>
      <c r="K194" s="47">
        <f t="shared" si="83"/>
        <v>25</v>
      </c>
      <c r="L194" s="47">
        <f t="shared" si="83"/>
        <v>0</v>
      </c>
      <c r="M194" s="47">
        <f t="shared" si="83"/>
        <v>15</v>
      </c>
      <c r="N194" s="47">
        <f t="shared" si="83"/>
        <v>0</v>
      </c>
      <c r="O194" s="47">
        <f t="shared" si="83"/>
        <v>5</v>
      </c>
      <c r="P194" s="47">
        <f t="shared" si="83"/>
        <v>0</v>
      </c>
      <c r="Q194" s="47">
        <f t="shared" si="83"/>
        <v>8</v>
      </c>
      <c r="R194" s="47">
        <f t="shared" si="83"/>
        <v>0</v>
      </c>
      <c r="S194" s="47">
        <f t="shared" si="83"/>
        <v>5</v>
      </c>
      <c r="T194" s="47">
        <f t="shared" si="83"/>
        <v>0</v>
      </c>
      <c r="U194" s="47">
        <f t="shared" si="83"/>
        <v>0</v>
      </c>
      <c r="V194" s="101">
        <f t="shared" si="83"/>
        <v>10</v>
      </c>
      <c r="W194" s="101">
        <f t="shared" si="83"/>
        <v>108</v>
      </c>
      <c r="X194" s="48">
        <f t="shared" si="81"/>
        <v>118</v>
      </c>
      <c r="Y194" s="102">
        <f>SUM(Y184:Y193)</f>
        <v>43011000</v>
      </c>
      <c r="Z194" s="4"/>
      <c r="AA194" s="4"/>
      <c r="AB194" s="4"/>
      <c r="AC194" s="3"/>
      <c r="AD194" s="3"/>
      <c r="AE194" s="2"/>
      <c r="AF194" s="3"/>
      <c r="AG194" s="3"/>
      <c r="AH194" s="3"/>
      <c r="AI194" s="2"/>
      <c r="AJ194" s="2"/>
      <c r="AK194" s="2"/>
      <c r="AL194" s="2"/>
      <c r="AM194" s="2"/>
      <c r="AN194" s="2"/>
      <c r="AO194" s="2"/>
      <c r="AP194" s="100"/>
      <c r="AQ194" s="2"/>
      <c r="AR194" s="2"/>
      <c r="AS194" s="3"/>
    </row>
    <row r="195">
      <c r="A195" s="7" t="s">
        <v>64</v>
      </c>
      <c r="B195" s="8"/>
      <c r="C195" s="7"/>
      <c r="D195" s="7"/>
      <c r="E195" s="7"/>
      <c r="F195" s="7"/>
      <c r="G195" s="47">
        <f>G194-H194</f>
        <v>37</v>
      </c>
      <c r="H195" s="7"/>
      <c r="I195" s="47">
        <f>I194-J194</f>
        <v>11</v>
      </c>
      <c r="J195" s="7"/>
      <c r="K195" s="47">
        <f>K194-L194</f>
        <v>25</v>
      </c>
      <c r="L195" s="7"/>
      <c r="M195" s="47">
        <f>M194-N194</f>
        <v>15</v>
      </c>
      <c r="N195" s="7"/>
      <c r="O195" s="47">
        <f>O194-P194</f>
        <v>5</v>
      </c>
      <c r="P195" s="7"/>
      <c r="Q195" s="47">
        <f>Q194-R194</f>
        <v>8</v>
      </c>
      <c r="R195" s="7"/>
      <c r="S195" s="47">
        <f>S194-T194</f>
        <v>5</v>
      </c>
      <c r="T195" s="7"/>
      <c r="U195" s="7"/>
      <c r="V195" s="54"/>
      <c r="W195" s="54"/>
      <c r="X195" s="48">
        <f>sum(X184:X194)</f>
        <v>236</v>
      </c>
      <c r="Y195" s="55"/>
      <c r="Z195" s="4"/>
      <c r="AA195" s="4"/>
      <c r="AB195" s="4"/>
      <c r="AC195" s="3"/>
      <c r="AD195" s="3"/>
      <c r="AE195" s="2"/>
      <c r="AF195" s="3"/>
      <c r="AG195" s="3"/>
      <c r="AH195" s="3"/>
      <c r="AI195" s="2"/>
      <c r="AJ195" s="2"/>
      <c r="AK195" s="2"/>
      <c r="AL195" s="2"/>
      <c r="AM195" s="2"/>
      <c r="AN195" s="2"/>
      <c r="AO195" s="2"/>
      <c r="AP195" s="100"/>
      <c r="AQ195" s="2"/>
      <c r="AR195" s="2"/>
      <c r="AS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  <c r="AA196" s="4"/>
      <c r="AB196" s="4"/>
      <c r="AC196" s="3"/>
      <c r="AD196" s="3"/>
      <c r="AE196" s="2"/>
      <c r="AF196" s="3"/>
      <c r="AG196" s="3"/>
      <c r="AH196" s="3"/>
      <c r="AI196" s="2"/>
      <c r="AJ196" s="2"/>
      <c r="AK196" s="2"/>
      <c r="AL196" s="2"/>
      <c r="AM196" s="2"/>
      <c r="AN196" s="2"/>
      <c r="AO196" s="2"/>
      <c r="AP196" s="100"/>
      <c r="AQ196" s="2"/>
      <c r="AR196" s="2"/>
      <c r="AS196" s="3"/>
    </row>
    <row r="197">
      <c r="A197" s="7"/>
      <c r="B197" s="8"/>
      <c r="C197" s="7"/>
      <c r="D197" s="9">
        <v>46005.0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  <c r="X197" s="6"/>
      <c r="Y197" s="6"/>
      <c r="Z197" s="4"/>
      <c r="AA197" s="4"/>
      <c r="AB197" s="4"/>
      <c r="AC197" s="3"/>
      <c r="AD197" s="3"/>
      <c r="AE197" s="2"/>
      <c r="AF197" s="3"/>
      <c r="AG197" s="3"/>
      <c r="AH197" s="3"/>
      <c r="AI197" s="2"/>
      <c r="AJ197" s="2"/>
      <c r="AK197" s="2"/>
      <c r="AL197" s="2"/>
      <c r="AM197" s="2"/>
      <c r="AN197" s="2"/>
      <c r="AO197" s="2"/>
      <c r="AP197" s="100"/>
      <c r="AQ197" s="2"/>
      <c r="AR197" s="2"/>
      <c r="AS197" s="3"/>
    </row>
    <row r="198">
      <c r="A198" s="70" t="s">
        <v>6</v>
      </c>
      <c r="B198" s="34" t="b">
        <v>0</v>
      </c>
      <c r="C198" s="7"/>
      <c r="D198" s="71" t="s">
        <v>7</v>
      </c>
      <c r="E198" s="11"/>
      <c r="F198" s="7"/>
      <c r="G198" s="71" t="s">
        <v>8</v>
      </c>
      <c r="H198" s="11"/>
      <c r="I198" s="71" t="s">
        <v>9</v>
      </c>
      <c r="J198" s="11"/>
      <c r="K198" s="72" t="s">
        <v>10</v>
      </c>
      <c r="L198" s="11"/>
      <c r="M198" s="71" t="s">
        <v>11</v>
      </c>
      <c r="N198" s="11"/>
      <c r="O198" s="71" t="s">
        <v>12</v>
      </c>
      <c r="P198" s="11"/>
      <c r="Q198" s="71" t="s">
        <v>13</v>
      </c>
      <c r="R198" s="11"/>
      <c r="S198" s="71" t="s">
        <v>14</v>
      </c>
      <c r="T198" s="11"/>
      <c r="U198" s="35" t="s">
        <v>15</v>
      </c>
      <c r="V198" s="73" t="s">
        <v>16</v>
      </c>
      <c r="W198" s="10"/>
      <c r="X198" s="10"/>
      <c r="Y198" s="11"/>
      <c r="Z198" s="4"/>
      <c r="AA198" s="4"/>
      <c r="AB198" s="4"/>
      <c r="AC198" s="3"/>
      <c r="AD198" s="3"/>
      <c r="AE198" s="2"/>
      <c r="AF198" s="3"/>
      <c r="AG198" s="3"/>
      <c r="AH198" s="3"/>
      <c r="AI198" s="2"/>
      <c r="AJ198" s="2"/>
      <c r="AK198" s="2"/>
      <c r="AL198" s="2"/>
      <c r="AM198" s="2"/>
      <c r="AN198" s="2"/>
      <c r="AO198" s="2"/>
      <c r="AP198" s="100"/>
      <c r="AQ198" s="2"/>
      <c r="AR198" s="2"/>
      <c r="AS198" s="3"/>
    </row>
    <row r="199">
      <c r="A199" s="7"/>
      <c r="B199" s="34" t="s">
        <v>28</v>
      </c>
      <c r="C199" s="35" t="s">
        <v>29</v>
      </c>
      <c r="D199" s="35" t="s">
        <v>30</v>
      </c>
      <c r="E199" s="35" t="s">
        <v>31</v>
      </c>
      <c r="F199" s="35" t="s">
        <v>32</v>
      </c>
      <c r="G199" s="35" t="s">
        <v>33</v>
      </c>
      <c r="H199" s="35" t="s">
        <v>31</v>
      </c>
      <c r="I199" s="35" t="s">
        <v>33</v>
      </c>
      <c r="J199" s="35" t="s">
        <v>31</v>
      </c>
      <c r="K199" s="35" t="s">
        <v>33</v>
      </c>
      <c r="L199" s="35" t="s">
        <v>31</v>
      </c>
      <c r="M199" s="35" t="s">
        <v>33</v>
      </c>
      <c r="N199" s="35" t="s">
        <v>31</v>
      </c>
      <c r="O199" s="35" t="s">
        <v>33</v>
      </c>
      <c r="P199" s="35" t="s">
        <v>31</v>
      </c>
      <c r="Q199" s="35" t="s">
        <v>33</v>
      </c>
      <c r="R199" s="35" t="s">
        <v>31</v>
      </c>
      <c r="S199" s="35" t="s">
        <v>33</v>
      </c>
      <c r="T199" s="35" t="s">
        <v>31</v>
      </c>
      <c r="U199" s="35" t="s">
        <v>34</v>
      </c>
      <c r="V199" s="36" t="s">
        <v>7</v>
      </c>
      <c r="W199" s="36" t="s">
        <v>35</v>
      </c>
      <c r="X199" s="36" t="s">
        <v>36</v>
      </c>
      <c r="Y199" s="36" t="s">
        <v>37</v>
      </c>
      <c r="Z199" s="4"/>
      <c r="AA199" s="4"/>
      <c r="AB199" s="4"/>
      <c r="AC199" s="3"/>
      <c r="AD199" s="3"/>
      <c r="AE199" s="2"/>
      <c r="AF199" s="3"/>
      <c r="AG199" s="3"/>
      <c r="AH199" s="3"/>
      <c r="AI199" s="2"/>
      <c r="AJ199" s="2"/>
      <c r="AK199" s="2"/>
      <c r="AL199" s="2"/>
      <c r="AM199" s="2"/>
      <c r="AN199" s="2"/>
      <c r="AO199" s="2"/>
      <c r="AP199" s="100"/>
      <c r="AQ199" s="2"/>
      <c r="AR199" s="2"/>
      <c r="AS199" s="3"/>
    </row>
    <row r="200">
      <c r="A200" s="7" t="s">
        <v>42</v>
      </c>
      <c r="B200" s="46">
        <v>335000.0</v>
      </c>
      <c r="C200" s="7"/>
      <c r="D200" s="47">
        <v>1.0</v>
      </c>
      <c r="E200" s="7"/>
      <c r="F200" s="7"/>
      <c r="G200" s="47">
        <v>14.0</v>
      </c>
      <c r="H200" s="7"/>
      <c r="I200" s="47">
        <v>8.0</v>
      </c>
      <c r="J200" s="7"/>
      <c r="K200" s="47">
        <v>22.0</v>
      </c>
      <c r="L200" s="7"/>
      <c r="M200" s="47">
        <v>11.0</v>
      </c>
      <c r="N200" s="7"/>
      <c r="O200" s="7"/>
      <c r="P200" s="7"/>
      <c r="Q200" s="47">
        <v>1.0</v>
      </c>
      <c r="R200" s="7"/>
      <c r="S200" s="7"/>
      <c r="T200" s="7"/>
      <c r="U200" s="7"/>
      <c r="V200" s="48">
        <f t="shared" ref="V200:V209" si="84">D200</f>
        <v>1</v>
      </c>
      <c r="W200" s="48">
        <f t="shared" ref="W200:W209" si="85">G200+I200+K200+M200+O200+Q200+S200</f>
        <v>56</v>
      </c>
      <c r="X200" s="48">
        <f t="shared" ref="X200:X210" si="86">V200+W200</f>
        <v>57</v>
      </c>
      <c r="Y200" s="49">
        <f t="shared" ref="Y200:Y209" si="87">B200*X200</f>
        <v>19095000</v>
      </c>
      <c r="Z200" s="4"/>
      <c r="AA200" s="4"/>
      <c r="AB200" s="4"/>
      <c r="AC200" s="3"/>
      <c r="AD200" s="3"/>
      <c r="AE200" s="2"/>
      <c r="AF200" s="3"/>
      <c r="AG200" s="3"/>
      <c r="AH200" s="3"/>
      <c r="AI200" s="2"/>
      <c r="AJ200" s="2"/>
      <c r="AK200" s="2"/>
      <c r="AL200" s="2"/>
      <c r="AM200" s="2"/>
      <c r="AN200" s="2"/>
      <c r="AO200" s="2"/>
      <c r="AP200" s="100"/>
      <c r="AQ200" s="2"/>
      <c r="AR200" s="2"/>
      <c r="AS200" s="3"/>
    </row>
    <row r="201">
      <c r="A201" s="7" t="s">
        <v>45</v>
      </c>
      <c r="B201" s="13">
        <v>395000.0</v>
      </c>
      <c r="C201" s="6"/>
      <c r="D201" s="47">
        <v>5.0</v>
      </c>
      <c r="E201" s="7"/>
      <c r="F201" s="7"/>
      <c r="G201" s="47">
        <v>17.0</v>
      </c>
      <c r="H201" s="7"/>
      <c r="I201" s="47">
        <v>3.0</v>
      </c>
      <c r="J201" s="7"/>
      <c r="K201" s="7"/>
      <c r="L201" s="7"/>
      <c r="M201" s="47">
        <v>3.0</v>
      </c>
      <c r="N201" s="7"/>
      <c r="O201" s="47">
        <v>5.0</v>
      </c>
      <c r="P201" s="7"/>
      <c r="Q201" s="47">
        <v>3.0</v>
      </c>
      <c r="R201" s="7"/>
      <c r="S201" s="7"/>
      <c r="T201" s="7"/>
      <c r="U201" s="7"/>
      <c r="V201" s="48">
        <f t="shared" si="84"/>
        <v>5</v>
      </c>
      <c r="W201" s="48">
        <f t="shared" si="85"/>
        <v>31</v>
      </c>
      <c r="X201" s="48">
        <f t="shared" si="86"/>
        <v>36</v>
      </c>
      <c r="Y201" s="49">
        <f t="shared" si="87"/>
        <v>14220000</v>
      </c>
      <c r="Z201" s="4"/>
      <c r="AA201" s="4"/>
      <c r="AB201" s="4"/>
      <c r="AC201" s="3"/>
      <c r="AD201" s="3"/>
      <c r="AE201" s="2"/>
      <c r="AF201" s="3"/>
      <c r="AG201" s="3"/>
      <c r="AH201" s="3"/>
      <c r="AI201" s="2"/>
      <c r="AJ201" s="2"/>
      <c r="AK201" s="2"/>
      <c r="AL201" s="2"/>
      <c r="AM201" s="2"/>
      <c r="AN201" s="2"/>
      <c r="AO201" s="2"/>
      <c r="AP201" s="100"/>
      <c r="AQ201" s="2"/>
      <c r="AR201" s="2"/>
      <c r="AS201" s="3"/>
    </row>
    <row r="202">
      <c r="A202" s="7" t="s">
        <v>48</v>
      </c>
      <c r="B202" s="46">
        <v>450000.0</v>
      </c>
      <c r="C202" s="7"/>
      <c r="D202" s="47">
        <v>1.0</v>
      </c>
      <c r="E202" s="7"/>
      <c r="F202" s="7"/>
      <c r="G202" s="47">
        <v>1.0</v>
      </c>
      <c r="H202" s="7"/>
      <c r="I202" s="7"/>
      <c r="J202" s="7"/>
      <c r="K202" s="47">
        <v>3.0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48">
        <f t="shared" si="84"/>
        <v>1</v>
      </c>
      <c r="W202" s="48">
        <f t="shared" si="85"/>
        <v>4</v>
      </c>
      <c r="X202" s="48">
        <f t="shared" si="86"/>
        <v>5</v>
      </c>
      <c r="Y202" s="49">
        <f t="shared" si="87"/>
        <v>2250000</v>
      </c>
      <c r="Z202" s="4"/>
      <c r="AA202" s="4"/>
      <c r="AB202" s="4"/>
      <c r="AC202" s="3"/>
      <c r="AD202" s="3"/>
      <c r="AE202" s="2"/>
      <c r="AF202" s="3"/>
      <c r="AG202" s="3"/>
      <c r="AH202" s="3"/>
      <c r="AI202" s="2"/>
      <c r="AJ202" s="2"/>
      <c r="AK202" s="2"/>
      <c r="AL202" s="2"/>
      <c r="AM202" s="2"/>
      <c r="AN202" s="2"/>
      <c r="AO202" s="2"/>
      <c r="AP202" s="100"/>
      <c r="AQ202" s="2"/>
      <c r="AR202" s="2"/>
      <c r="AS202" s="3"/>
    </row>
    <row r="203">
      <c r="A203" s="7" t="s">
        <v>50</v>
      </c>
      <c r="B203" s="46">
        <v>575000.0</v>
      </c>
      <c r="C203" s="7"/>
      <c r="D203" s="47">
        <v>1.0</v>
      </c>
      <c r="E203" s="7"/>
      <c r="F203" s="7"/>
      <c r="G203" s="47">
        <v>5.0</v>
      </c>
      <c r="H203" s="7"/>
      <c r="I203" s="7"/>
      <c r="J203" s="7"/>
      <c r="K203" s="7"/>
      <c r="L203" s="7"/>
      <c r="M203" s="47">
        <v>1.0</v>
      </c>
      <c r="N203" s="7"/>
      <c r="O203" s="7"/>
      <c r="P203" s="7"/>
      <c r="Q203" s="7"/>
      <c r="R203" s="7"/>
      <c r="S203" s="7"/>
      <c r="T203" s="7"/>
      <c r="U203" s="7"/>
      <c r="V203" s="48">
        <f t="shared" si="84"/>
        <v>1</v>
      </c>
      <c r="W203" s="48">
        <f t="shared" si="85"/>
        <v>6</v>
      </c>
      <c r="X203" s="48">
        <f t="shared" si="86"/>
        <v>7</v>
      </c>
      <c r="Y203" s="49">
        <f t="shared" si="87"/>
        <v>4025000</v>
      </c>
      <c r="Z203" s="4"/>
      <c r="AA203" s="4"/>
      <c r="AB203" s="4"/>
      <c r="AC203" s="3"/>
      <c r="AD203" s="3"/>
      <c r="AE203" s="2"/>
      <c r="AF203" s="3"/>
      <c r="AG203" s="3"/>
      <c r="AH203" s="3"/>
      <c r="AI203" s="2"/>
      <c r="AJ203" s="2"/>
      <c r="AK203" s="2"/>
      <c r="AL203" s="2"/>
      <c r="AM203" s="2"/>
      <c r="AN203" s="2"/>
      <c r="AO203" s="2"/>
      <c r="AP203" s="100"/>
      <c r="AQ203" s="2"/>
      <c r="AR203" s="2"/>
      <c r="AS203" s="3"/>
    </row>
    <row r="204">
      <c r="A204" s="7" t="s">
        <v>53</v>
      </c>
      <c r="B204" s="53">
        <v>262000.0</v>
      </c>
      <c r="C204" s="7"/>
      <c r="D204" s="47">
        <v>1.0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47">
        <v>1.0</v>
      </c>
      <c r="R204" s="7"/>
      <c r="S204" s="47">
        <v>1.0</v>
      </c>
      <c r="T204" s="7"/>
      <c r="U204" s="7"/>
      <c r="V204" s="48">
        <f t="shared" si="84"/>
        <v>1</v>
      </c>
      <c r="W204" s="48">
        <f t="shared" si="85"/>
        <v>2</v>
      </c>
      <c r="X204" s="48">
        <f t="shared" si="86"/>
        <v>3</v>
      </c>
      <c r="Y204" s="49">
        <f t="shared" si="87"/>
        <v>786000</v>
      </c>
      <c r="Z204" s="4"/>
      <c r="AA204" s="4"/>
      <c r="AB204" s="4"/>
      <c r="AC204" s="3"/>
      <c r="AD204" s="3"/>
      <c r="AE204" s="2"/>
      <c r="AF204" s="3"/>
      <c r="AG204" s="3"/>
      <c r="AH204" s="3"/>
      <c r="AI204" s="2"/>
      <c r="AJ204" s="2"/>
      <c r="AK204" s="2"/>
      <c r="AL204" s="2"/>
      <c r="AM204" s="2"/>
      <c r="AN204" s="2"/>
      <c r="AO204" s="2"/>
      <c r="AP204" s="100"/>
      <c r="AQ204" s="2"/>
      <c r="AR204" s="2"/>
      <c r="AS204" s="3"/>
    </row>
    <row r="205">
      <c r="A205" s="7" t="s">
        <v>55</v>
      </c>
      <c r="B205" s="53">
        <v>185000.0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47">
        <v>1.0</v>
      </c>
      <c r="T205" s="7"/>
      <c r="U205" s="7"/>
      <c r="V205" s="54" t="str">
        <f t="shared" si="84"/>
        <v/>
      </c>
      <c r="W205" s="48">
        <f t="shared" si="85"/>
        <v>1</v>
      </c>
      <c r="X205" s="48">
        <f t="shared" si="86"/>
        <v>1</v>
      </c>
      <c r="Y205" s="49">
        <f t="shared" si="87"/>
        <v>185000</v>
      </c>
      <c r="Z205" s="4"/>
      <c r="AA205" s="4"/>
      <c r="AB205" s="4"/>
      <c r="AC205" s="3"/>
      <c r="AD205" s="3"/>
      <c r="AE205" s="2"/>
      <c r="AF205" s="3"/>
      <c r="AG205" s="3"/>
      <c r="AH205" s="3"/>
      <c r="AI205" s="2"/>
      <c r="AJ205" s="2"/>
      <c r="AK205" s="2"/>
      <c r="AL205" s="2"/>
      <c r="AM205" s="2"/>
      <c r="AN205" s="2"/>
      <c r="AO205" s="2"/>
      <c r="AP205" s="100"/>
      <c r="AQ205" s="2"/>
      <c r="AR205" s="2"/>
      <c r="AS205" s="3"/>
    </row>
    <row r="206">
      <c r="A206" s="7" t="s">
        <v>57</v>
      </c>
      <c r="B206" s="53">
        <v>242000.0</v>
      </c>
      <c r="C206" s="7"/>
      <c r="D206" s="47">
        <v>1.0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47">
        <v>1.0</v>
      </c>
      <c r="R206" s="7"/>
      <c r="S206" s="47">
        <v>1.0</v>
      </c>
      <c r="T206" s="7"/>
      <c r="U206" s="7"/>
      <c r="V206" s="48">
        <f t="shared" si="84"/>
        <v>1</v>
      </c>
      <c r="W206" s="48">
        <f t="shared" si="85"/>
        <v>2</v>
      </c>
      <c r="X206" s="48">
        <f t="shared" si="86"/>
        <v>3</v>
      </c>
      <c r="Y206" s="49">
        <f t="shared" si="87"/>
        <v>726000</v>
      </c>
      <c r="Z206" s="4"/>
      <c r="AA206" s="4"/>
      <c r="AB206" s="4"/>
      <c r="AC206" s="3"/>
      <c r="AD206" s="3"/>
      <c r="AE206" s="2"/>
      <c r="AF206" s="3"/>
      <c r="AG206" s="3"/>
      <c r="AH206" s="3"/>
      <c r="AI206" s="2"/>
      <c r="AJ206" s="2"/>
      <c r="AK206" s="2"/>
      <c r="AL206" s="2"/>
      <c r="AM206" s="2"/>
      <c r="AN206" s="2"/>
      <c r="AO206" s="2"/>
      <c r="AP206" s="100"/>
      <c r="AQ206" s="2"/>
      <c r="AR206" s="2"/>
      <c r="AS206" s="3"/>
    </row>
    <row r="207">
      <c r="A207" s="7" t="s">
        <v>60</v>
      </c>
      <c r="B207" s="53">
        <v>202000.0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47">
        <v>1.0</v>
      </c>
      <c r="R207" s="7"/>
      <c r="S207" s="47">
        <v>1.0</v>
      </c>
      <c r="T207" s="7"/>
      <c r="U207" s="7"/>
      <c r="V207" s="54" t="str">
        <f t="shared" si="84"/>
        <v/>
      </c>
      <c r="W207" s="48">
        <f t="shared" si="85"/>
        <v>2</v>
      </c>
      <c r="X207" s="48">
        <f t="shared" si="86"/>
        <v>2</v>
      </c>
      <c r="Y207" s="49">
        <f t="shared" si="87"/>
        <v>404000</v>
      </c>
      <c r="Z207" s="4"/>
      <c r="AA207" s="4"/>
      <c r="AB207" s="4"/>
      <c r="AC207" s="3"/>
      <c r="AD207" s="3"/>
      <c r="AE207" s="2"/>
      <c r="AF207" s="3"/>
      <c r="AG207" s="3"/>
      <c r="AH207" s="3"/>
      <c r="AI207" s="2"/>
      <c r="AJ207" s="2"/>
      <c r="AK207" s="2"/>
      <c r="AL207" s="2"/>
      <c r="AM207" s="2"/>
      <c r="AN207" s="2"/>
      <c r="AO207" s="2"/>
      <c r="AP207" s="100"/>
      <c r="AQ207" s="2"/>
      <c r="AR207" s="2"/>
      <c r="AS207" s="3"/>
    </row>
    <row r="208">
      <c r="A208" s="7" t="s">
        <v>61</v>
      </c>
      <c r="B208" s="53">
        <v>175000.0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47">
        <v>1.0</v>
      </c>
      <c r="R208" s="7"/>
      <c r="S208" s="47">
        <v>1.0</v>
      </c>
      <c r="T208" s="7"/>
      <c r="U208" s="7"/>
      <c r="V208" s="54" t="str">
        <f t="shared" si="84"/>
        <v/>
      </c>
      <c r="W208" s="48">
        <f t="shared" si="85"/>
        <v>2</v>
      </c>
      <c r="X208" s="48">
        <f t="shared" si="86"/>
        <v>2</v>
      </c>
      <c r="Y208" s="49">
        <f t="shared" si="87"/>
        <v>350000</v>
      </c>
      <c r="Z208" s="4"/>
      <c r="AA208" s="4"/>
      <c r="AB208" s="4"/>
      <c r="AC208" s="3"/>
      <c r="AD208" s="3"/>
      <c r="AE208" s="2"/>
      <c r="AF208" s="3"/>
      <c r="AG208" s="3"/>
      <c r="AH208" s="3"/>
      <c r="AI208" s="2"/>
      <c r="AJ208" s="2"/>
      <c r="AK208" s="2"/>
      <c r="AL208" s="2"/>
      <c r="AM208" s="2"/>
      <c r="AN208" s="2"/>
      <c r="AO208" s="2"/>
      <c r="AP208" s="100"/>
      <c r="AQ208" s="2"/>
      <c r="AR208" s="2"/>
      <c r="AS208" s="3"/>
    </row>
    <row r="209">
      <c r="A209" s="7" t="s">
        <v>62</v>
      </c>
      <c r="B209" s="53">
        <v>233000.0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54" t="str">
        <f t="shared" si="84"/>
        <v/>
      </c>
      <c r="W209" s="48">
        <f t="shared" si="85"/>
        <v>0</v>
      </c>
      <c r="X209" s="48">
        <f t="shared" si="86"/>
        <v>0</v>
      </c>
      <c r="Y209" s="49">
        <f t="shared" si="87"/>
        <v>0</v>
      </c>
      <c r="Z209" s="4"/>
      <c r="AA209" s="4"/>
      <c r="AB209" s="4"/>
      <c r="AC209" s="3"/>
      <c r="AD209" s="3"/>
      <c r="AE209" s="2"/>
      <c r="AF209" s="3"/>
      <c r="AG209" s="3"/>
      <c r="AH209" s="3"/>
      <c r="AI209" s="2"/>
      <c r="AJ209" s="2"/>
      <c r="AK209" s="2"/>
      <c r="AL209" s="2"/>
      <c r="AM209" s="2"/>
      <c r="AN209" s="2"/>
      <c r="AO209" s="2"/>
      <c r="AP209" s="100"/>
      <c r="AQ209" s="2"/>
      <c r="AR209" s="2"/>
      <c r="AS209" s="3"/>
    </row>
    <row r="210">
      <c r="A210" s="7" t="s">
        <v>63</v>
      </c>
      <c r="B210" s="8"/>
      <c r="C210" s="7"/>
      <c r="D210" s="47">
        <f t="shared" ref="D210:W210" si="88">SUM(D200:D209)</f>
        <v>10</v>
      </c>
      <c r="E210" s="47">
        <f t="shared" si="88"/>
        <v>0</v>
      </c>
      <c r="F210" s="47">
        <f t="shared" si="88"/>
        <v>0</v>
      </c>
      <c r="G210" s="47">
        <f t="shared" si="88"/>
        <v>37</v>
      </c>
      <c r="H210" s="47">
        <f t="shared" si="88"/>
        <v>0</v>
      </c>
      <c r="I210" s="47">
        <f t="shared" si="88"/>
        <v>11</v>
      </c>
      <c r="J210" s="47">
        <f t="shared" si="88"/>
        <v>0</v>
      </c>
      <c r="K210" s="47">
        <f t="shared" si="88"/>
        <v>25</v>
      </c>
      <c r="L210" s="47">
        <f t="shared" si="88"/>
        <v>0</v>
      </c>
      <c r="M210" s="47">
        <f t="shared" si="88"/>
        <v>15</v>
      </c>
      <c r="N210" s="47">
        <f t="shared" si="88"/>
        <v>0</v>
      </c>
      <c r="O210" s="47">
        <f t="shared" si="88"/>
        <v>5</v>
      </c>
      <c r="P210" s="47">
        <f t="shared" si="88"/>
        <v>0</v>
      </c>
      <c r="Q210" s="47">
        <f t="shared" si="88"/>
        <v>8</v>
      </c>
      <c r="R210" s="47">
        <f t="shared" si="88"/>
        <v>0</v>
      </c>
      <c r="S210" s="47">
        <f t="shared" si="88"/>
        <v>5</v>
      </c>
      <c r="T210" s="47">
        <f t="shared" si="88"/>
        <v>0</v>
      </c>
      <c r="U210" s="47">
        <f t="shared" si="88"/>
        <v>0</v>
      </c>
      <c r="V210" s="101">
        <f t="shared" si="88"/>
        <v>10</v>
      </c>
      <c r="W210" s="101">
        <f t="shared" si="88"/>
        <v>106</v>
      </c>
      <c r="X210" s="48">
        <f t="shared" si="86"/>
        <v>116</v>
      </c>
      <c r="Y210" s="102">
        <f>SUM(Y200:Y209)</f>
        <v>42041000</v>
      </c>
      <c r="Z210" s="4"/>
      <c r="AA210" s="4"/>
      <c r="AB210" s="4"/>
      <c r="AC210" s="3"/>
      <c r="AD210" s="3"/>
      <c r="AE210" s="2"/>
      <c r="AF210" s="3"/>
      <c r="AG210" s="3"/>
      <c r="AH210" s="3"/>
      <c r="AI210" s="2"/>
      <c r="AJ210" s="2"/>
      <c r="AK210" s="2"/>
      <c r="AL210" s="2"/>
      <c r="AM210" s="2"/>
      <c r="AN210" s="2"/>
      <c r="AO210" s="2"/>
      <c r="AP210" s="100"/>
      <c r="AQ210" s="2"/>
      <c r="AR210" s="2"/>
      <c r="AS210" s="3"/>
    </row>
    <row r="211">
      <c r="A211" s="7" t="s">
        <v>64</v>
      </c>
      <c r="B211" s="8"/>
      <c r="C211" s="7"/>
      <c r="D211" s="7"/>
      <c r="E211" s="7"/>
      <c r="F211" s="7"/>
      <c r="G211" s="47">
        <f>G210-H210</f>
        <v>37</v>
      </c>
      <c r="H211" s="7"/>
      <c r="I211" s="47">
        <f>I210-J210</f>
        <v>11</v>
      </c>
      <c r="J211" s="7"/>
      <c r="K211" s="47">
        <f>K210-L210</f>
        <v>25</v>
      </c>
      <c r="L211" s="7"/>
      <c r="M211" s="47">
        <f>M210-N210</f>
        <v>15</v>
      </c>
      <c r="N211" s="7"/>
      <c r="O211" s="47">
        <f>O210-P210</f>
        <v>5</v>
      </c>
      <c r="P211" s="7"/>
      <c r="Q211" s="47">
        <f>Q210-R210</f>
        <v>8</v>
      </c>
      <c r="R211" s="7"/>
      <c r="S211" s="47">
        <f>S210-T210</f>
        <v>5</v>
      </c>
      <c r="T211" s="7"/>
      <c r="U211" s="7"/>
      <c r="V211" s="54"/>
      <c r="W211" s="54"/>
      <c r="X211" s="48">
        <f>sum(X200:X210)</f>
        <v>232</v>
      </c>
      <c r="Y211" s="55"/>
      <c r="Z211" s="4"/>
      <c r="AA211" s="4"/>
      <c r="AB211" s="4"/>
      <c r="AC211" s="3"/>
      <c r="AD211" s="3"/>
      <c r="AE211" s="2"/>
      <c r="AF211" s="3"/>
      <c r="AG211" s="3"/>
      <c r="AH211" s="3"/>
      <c r="AI211" s="2"/>
      <c r="AJ211" s="2"/>
      <c r="AK211" s="2"/>
      <c r="AL211" s="2"/>
      <c r="AM211" s="2"/>
      <c r="AN211" s="2"/>
      <c r="AO211" s="2"/>
      <c r="AP211" s="100"/>
      <c r="AQ211" s="2"/>
      <c r="AR211" s="2"/>
      <c r="AS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  <c r="AA212" s="4"/>
      <c r="AB212" s="4"/>
      <c r="AC212" s="3"/>
      <c r="AD212" s="3"/>
      <c r="AE212" s="2"/>
      <c r="AF212" s="3"/>
      <c r="AG212" s="3"/>
      <c r="AH212" s="3"/>
      <c r="AI212" s="2"/>
      <c r="AJ212" s="2"/>
      <c r="AK212" s="2"/>
      <c r="AL212" s="2"/>
      <c r="AM212" s="2"/>
      <c r="AN212" s="2"/>
      <c r="AO212" s="2"/>
      <c r="AP212" s="100"/>
      <c r="AQ212" s="2"/>
      <c r="AR212" s="2"/>
      <c r="AS212" s="3"/>
    </row>
    <row r="213">
      <c r="A213" s="7"/>
      <c r="B213" s="8"/>
      <c r="C213" s="7"/>
      <c r="D213" s="9">
        <v>46006.0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  <c r="X213" s="6"/>
      <c r="Y213" s="6"/>
      <c r="Z213" s="4"/>
      <c r="AA213" s="4"/>
      <c r="AB213" s="4"/>
      <c r="AC213" s="3"/>
      <c r="AD213" s="3"/>
      <c r="AE213" s="2"/>
      <c r="AF213" s="3"/>
      <c r="AG213" s="3"/>
      <c r="AH213" s="3"/>
      <c r="AI213" s="2"/>
      <c r="AJ213" s="2"/>
      <c r="AK213" s="2"/>
      <c r="AL213" s="2"/>
      <c r="AM213" s="2"/>
      <c r="AN213" s="2"/>
      <c r="AO213" s="2"/>
      <c r="AP213" s="100"/>
      <c r="AQ213" s="2"/>
      <c r="AR213" s="2"/>
      <c r="AS213" s="3"/>
    </row>
    <row r="214">
      <c r="A214" s="70" t="s">
        <v>6</v>
      </c>
      <c r="B214" s="34" t="b">
        <v>0</v>
      </c>
      <c r="C214" s="7"/>
      <c r="D214" s="71" t="s">
        <v>7</v>
      </c>
      <c r="E214" s="11"/>
      <c r="F214" s="7"/>
      <c r="G214" s="71" t="s">
        <v>8</v>
      </c>
      <c r="H214" s="11"/>
      <c r="I214" s="71" t="s">
        <v>9</v>
      </c>
      <c r="J214" s="11"/>
      <c r="K214" s="72" t="s">
        <v>10</v>
      </c>
      <c r="L214" s="11"/>
      <c r="M214" s="71" t="s">
        <v>11</v>
      </c>
      <c r="N214" s="11"/>
      <c r="O214" s="71" t="s">
        <v>12</v>
      </c>
      <c r="P214" s="11"/>
      <c r="Q214" s="71" t="s">
        <v>13</v>
      </c>
      <c r="R214" s="11"/>
      <c r="S214" s="71" t="s">
        <v>14</v>
      </c>
      <c r="T214" s="11"/>
      <c r="U214" s="35" t="s">
        <v>15</v>
      </c>
      <c r="V214" s="73" t="s">
        <v>16</v>
      </c>
      <c r="W214" s="10"/>
      <c r="X214" s="10"/>
      <c r="Y214" s="11"/>
      <c r="Z214" s="4"/>
      <c r="AA214" s="4"/>
      <c r="AB214" s="4"/>
      <c r="AC214" s="3"/>
      <c r="AD214" s="3"/>
      <c r="AE214" s="2"/>
      <c r="AF214" s="3"/>
      <c r="AG214" s="3"/>
      <c r="AH214" s="3"/>
      <c r="AI214" s="2"/>
      <c r="AJ214" s="2"/>
      <c r="AK214" s="2"/>
      <c r="AL214" s="2"/>
      <c r="AM214" s="2"/>
      <c r="AN214" s="2"/>
      <c r="AO214" s="2"/>
      <c r="AP214" s="100"/>
      <c r="AQ214" s="2"/>
      <c r="AR214" s="2"/>
      <c r="AS214" s="3"/>
    </row>
    <row r="215">
      <c r="A215" s="7"/>
      <c r="B215" s="34" t="s">
        <v>28</v>
      </c>
      <c r="C215" s="35" t="s">
        <v>29</v>
      </c>
      <c r="D215" s="35" t="s">
        <v>30</v>
      </c>
      <c r="E215" s="35" t="s">
        <v>31</v>
      </c>
      <c r="F215" s="35" t="s">
        <v>32</v>
      </c>
      <c r="G215" s="35" t="s">
        <v>33</v>
      </c>
      <c r="H215" s="35" t="s">
        <v>31</v>
      </c>
      <c r="I215" s="35" t="s">
        <v>33</v>
      </c>
      <c r="J215" s="35" t="s">
        <v>31</v>
      </c>
      <c r="K215" s="35" t="s">
        <v>33</v>
      </c>
      <c r="L215" s="35" t="s">
        <v>31</v>
      </c>
      <c r="M215" s="35" t="s">
        <v>33</v>
      </c>
      <c r="N215" s="35" t="s">
        <v>31</v>
      </c>
      <c r="O215" s="35" t="s">
        <v>33</v>
      </c>
      <c r="P215" s="35" t="s">
        <v>31</v>
      </c>
      <c r="Q215" s="35" t="s">
        <v>33</v>
      </c>
      <c r="R215" s="35" t="s">
        <v>31</v>
      </c>
      <c r="S215" s="35" t="s">
        <v>33</v>
      </c>
      <c r="T215" s="35" t="s">
        <v>31</v>
      </c>
      <c r="U215" s="35" t="s">
        <v>34</v>
      </c>
      <c r="V215" s="36" t="s">
        <v>7</v>
      </c>
      <c r="W215" s="36" t="s">
        <v>35</v>
      </c>
      <c r="X215" s="36" t="s">
        <v>36</v>
      </c>
      <c r="Y215" s="36" t="s">
        <v>37</v>
      </c>
      <c r="Z215" s="4"/>
      <c r="AA215" s="4"/>
      <c r="AB215" s="4"/>
      <c r="AC215" s="3"/>
      <c r="AD215" s="3"/>
      <c r="AE215" s="2"/>
      <c r="AF215" s="3"/>
      <c r="AG215" s="3"/>
      <c r="AH215" s="3"/>
      <c r="AI215" s="2"/>
      <c r="AJ215" s="2"/>
      <c r="AK215" s="2"/>
      <c r="AL215" s="2"/>
      <c r="AM215" s="2"/>
      <c r="AN215" s="2"/>
      <c r="AO215" s="2"/>
      <c r="AP215" s="100"/>
      <c r="AQ215" s="2"/>
      <c r="AR215" s="2"/>
      <c r="AS215" s="3"/>
    </row>
    <row r="216">
      <c r="A216" s="7" t="s">
        <v>42</v>
      </c>
      <c r="B216" s="46">
        <v>335000.0</v>
      </c>
      <c r="C216" s="7"/>
      <c r="D216" s="47">
        <v>1.0</v>
      </c>
      <c r="E216" s="7"/>
      <c r="F216" s="7"/>
      <c r="G216" s="47">
        <v>14.0</v>
      </c>
      <c r="H216" s="7"/>
      <c r="I216" s="47">
        <v>8.0</v>
      </c>
      <c r="J216" s="7"/>
      <c r="K216" s="47">
        <v>22.0</v>
      </c>
      <c r="L216" s="7"/>
      <c r="M216" s="47">
        <v>11.0</v>
      </c>
      <c r="N216" s="7"/>
      <c r="O216" s="7"/>
      <c r="P216" s="7"/>
      <c r="Q216" s="47">
        <v>1.0</v>
      </c>
      <c r="R216" s="7"/>
      <c r="S216" s="7"/>
      <c r="T216" s="7"/>
      <c r="U216" s="7"/>
      <c r="V216" s="48">
        <f t="shared" ref="V216:V225" si="89">D216</f>
        <v>1</v>
      </c>
      <c r="W216" s="48">
        <f t="shared" ref="W216:W225" si="90">G216+I216+K216+M216+O216+Q216+S216</f>
        <v>56</v>
      </c>
      <c r="X216" s="48">
        <f t="shared" ref="X216:X226" si="91">V216+W216</f>
        <v>57</v>
      </c>
      <c r="Y216" s="49">
        <f t="shared" ref="Y216:Y225" si="92">B216*X216</f>
        <v>19095000</v>
      </c>
      <c r="Z216" s="4"/>
      <c r="AA216" s="4"/>
      <c r="AB216" s="4"/>
      <c r="AC216" s="3"/>
      <c r="AD216" s="3"/>
      <c r="AE216" s="2"/>
      <c r="AF216" s="3"/>
      <c r="AG216" s="3"/>
      <c r="AH216" s="3"/>
      <c r="AI216" s="2"/>
      <c r="AJ216" s="2"/>
      <c r="AK216" s="2"/>
      <c r="AL216" s="2"/>
      <c r="AM216" s="2"/>
      <c r="AN216" s="2"/>
      <c r="AO216" s="2"/>
      <c r="AP216" s="100"/>
      <c r="AQ216" s="2"/>
      <c r="AR216" s="2"/>
      <c r="AS216" s="3"/>
    </row>
    <row r="217">
      <c r="A217" s="7" t="s">
        <v>45</v>
      </c>
      <c r="B217" s="13">
        <v>395000.0</v>
      </c>
      <c r="C217" s="6"/>
      <c r="D217" s="47">
        <v>5.0</v>
      </c>
      <c r="E217" s="7"/>
      <c r="F217" s="7"/>
      <c r="G217" s="47">
        <v>17.0</v>
      </c>
      <c r="H217" s="7"/>
      <c r="I217" s="47">
        <v>3.0</v>
      </c>
      <c r="J217" s="7"/>
      <c r="K217" s="7"/>
      <c r="L217" s="7"/>
      <c r="M217" s="47">
        <v>3.0</v>
      </c>
      <c r="N217" s="7"/>
      <c r="O217" s="47">
        <v>5.0</v>
      </c>
      <c r="P217" s="7"/>
      <c r="Q217" s="47">
        <v>3.0</v>
      </c>
      <c r="R217" s="7"/>
      <c r="S217" s="7"/>
      <c r="T217" s="7"/>
      <c r="U217" s="7"/>
      <c r="V217" s="48">
        <f t="shared" si="89"/>
        <v>5</v>
      </c>
      <c r="W217" s="48">
        <f t="shared" si="90"/>
        <v>31</v>
      </c>
      <c r="X217" s="48">
        <f t="shared" si="91"/>
        <v>36</v>
      </c>
      <c r="Y217" s="49">
        <f t="shared" si="92"/>
        <v>14220000</v>
      </c>
      <c r="Z217" s="4"/>
      <c r="AA217" s="4"/>
      <c r="AB217" s="4"/>
      <c r="AC217" s="3"/>
      <c r="AD217" s="3"/>
      <c r="AE217" s="2"/>
      <c r="AF217" s="3"/>
      <c r="AG217" s="3"/>
      <c r="AH217" s="3"/>
      <c r="AI217" s="2"/>
      <c r="AJ217" s="2"/>
      <c r="AK217" s="2"/>
      <c r="AL217" s="2"/>
      <c r="AM217" s="2"/>
      <c r="AN217" s="2"/>
      <c r="AO217" s="2"/>
      <c r="AP217" s="100"/>
      <c r="AQ217" s="2"/>
      <c r="AR217" s="2"/>
      <c r="AS217" s="3"/>
    </row>
    <row r="218">
      <c r="A218" s="7" t="s">
        <v>48</v>
      </c>
      <c r="B218" s="46">
        <v>450000.0</v>
      </c>
      <c r="C218" s="7"/>
      <c r="D218" s="47">
        <v>1.0</v>
      </c>
      <c r="E218" s="7"/>
      <c r="F218" s="7"/>
      <c r="G218" s="47">
        <v>1.0</v>
      </c>
      <c r="H218" s="7"/>
      <c r="I218" s="7"/>
      <c r="J218" s="7"/>
      <c r="K218" s="47">
        <v>3.0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48">
        <f t="shared" si="89"/>
        <v>1</v>
      </c>
      <c r="W218" s="48">
        <f t="shared" si="90"/>
        <v>4</v>
      </c>
      <c r="X218" s="48">
        <f t="shared" si="91"/>
        <v>5</v>
      </c>
      <c r="Y218" s="49">
        <f t="shared" si="92"/>
        <v>2250000</v>
      </c>
      <c r="Z218" s="4"/>
      <c r="AA218" s="4"/>
      <c r="AB218" s="4"/>
      <c r="AC218" s="3"/>
      <c r="AD218" s="3"/>
      <c r="AE218" s="2"/>
      <c r="AF218" s="3"/>
      <c r="AG218" s="3"/>
      <c r="AH218" s="3"/>
      <c r="AI218" s="2"/>
      <c r="AJ218" s="2"/>
      <c r="AK218" s="2"/>
      <c r="AL218" s="2"/>
      <c r="AM218" s="2"/>
      <c r="AN218" s="2"/>
      <c r="AO218" s="2"/>
      <c r="AP218" s="100"/>
      <c r="AQ218" s="2"/>
      <c r="AR218" s="2"/>
      <c r="AS218" s="3"/>
    </row>
    <row r="219">
      <c r="A219" s="7" t="s">
        <v>50</v>
      </c>
      <c r="B219" s="46">
        <v>575000.0</v>
      </c>
      <c r="C219" s="7"/>
      <c r="D219" s="47">
        <v>1.0</v>
      </c>
      <c r="E219" s="7"/>
      <c r="F219" s="7"/>
      <c r="G219" s="47">
        <v>5.0</v>
      </c>
      <c r="H219" s="7"/>
      <c r="I219" s="7"/>
      <c r="J219" s="7"/>
      <c r="K219" s="7"/>
      <c r="L219" s="7"/>
      <c r="M219" s="47">
        <v>1.0</v>
      </c>
      <c r="N219" s="7"/>
      <c r="O219" s="7"/>
      <c r="P219" s="7"/>
      <c r="Q219" s="7"/>
      <c r="R219" s="7"/>
      <c r="S219" s="7"/>
      <c r="T219" s="7"/>
      <c r="U219" s="7"/>
      <c r="V219" s="48">
        <f t="shared" si="89"/>
        <v>1</v>
      </c>
      <c r="W219" s="48">
        <f t="shared" si="90"/>
        <v>6</v>
      </c>
      <c r="X219" s="48">
        <f t="shared" si="91"/>
        <v>7</v>
      </c>
      <c r="Y219" s="49">
        <f t="shared" si="92"/>
        <v>4025000</v>
      </c>
      <c r="Z219" s="4"/>
      <c r="AA219" s="4"/>
      <c r="AB219" s="4"/>
      <c r="AC219" s="3"/>
      <c r="AD219" s="3"/>
      <c r="AE219" s="2"/>
      <c r="AF219" s="3"/>
      <c r="AG219" s="3"/>
      <c r="AH219" s="3"/>
      <c r="AI219" s="2"/>
      <c r="AJ219" s="2"/>
      <c r="AK219" s="2"/>
      <c r="AL219" s="2"/>
      <c r="AM219" s="2"/>
      <c r="AN219" s="2"/>
      <c r="AO219" s="2"/>
      <c r="AP219" s="100"/>
      <c r="AQ219" s="2"/>
      <c r="AR219" s="2"/>
      <c r="AS219" s="3"/>
    </row>
    <row r="220">
      <c r="A220" s="7" t="s">
        <v>53</v>
      </c>
      <c r="B220" s="53">
        <v>262000.0</v>
      </c>
      <c r="C220" s="7"/>
      <c r="D220" s="47">
        <v>1.0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47">
        <v>1.0</v>
      </c>
      <c r="R220" s="7"/>
      <c r="S220" s="47">
        <v>1.0</v>
      </c>
      <c r="T220" s="7"/>
      <c r="U220" s="7"/>
      <c r="V220" s="48">
        <f t="shared" si="89"/>
        <v>1</v>
      </c>
      <c r="W220" s="48">
        <f t="shared" si="90"/>
        <v>2</v>
      </c>
      <c r="X220" s="48">
        <f t="shared" si="91"/>
        <v>3</v>
      </c>
      <c r="Y220" s="49">
        <f t="shared" si="92"/>
        <v>786000</v>
      </c>
      <c r="Z220" s="4"/>
      <c r="AA220" s="4"/>
      <c r="AB220" s="4"/>
      <c r="AC220" s="3"/>
      <c r="AD220" s="3"/>
      <c r="AE220" s="2"/>
      <c r="AF220" s="3"/>
      <c r="AG220" s="3"/>
      <c r="AH220" s="3"/>
      <c r="AI220" s="2"/>
      <c r="AJ220" s="2"/>
      <c r="AK220" s="2"/>
      <c r="AL220" s="2"/>
      <c r="AM220" s="2"/>
      <c r="AN220" s="2"/>
      <c r="AO220" s="2"/>
      <c r="AP220" s="100"/>
      <c r="AQ220" s="2"/>
      <c r="AR220" s="2"/>
      <c r="AS220" s="3"/>
    </row>
    <row r="221">
      <c r="A221" s="7" t="s">
        <v>55</v>
      </c>
      <c r="B221" s="53">
        <v>185000.0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47">
        <v>1.0</v>
      </c>
      <c r="T221" s="7"/>
      <c r="U221" s="7"/>
      <c r="V221" s="54" t="str">
        <f t="shared" si="89"/>
        <v/>
      </c>
      <c r="W221" s="48">
        <f t="shared" si="90"/>
        <v>1</v>
      </c>
      <c r="X221" s="48">
        <f t="shared" si="91"/>
        <v>1</v>
      </c>
      <c r="Y221" s="49">
        <f t="shared" si="92"/>
        <v>185000</v>
      </c>
      <c r="Z221" s="4"/>
      <c r="AA221" s="4"/>
      <c r="AB221" s="4"/>
      <c r="AC221" s="3"/>
      <c r="AD221" s="3"/>
      <c r="AE221" s="2"/>
      <c r="AF221" s="3"/>
      <c r="AG221" s="3"/>
      <c r="AH221" s="3"/>
      <c r="AI221" s="2"/>
      <c r="AJ221" s="2"/>
      <c r="AK221" s="2"/>
      <c r="AL221" s="2"/>
      <c r="AM221" s="2"/>
      <c r="AN221" s="2"/>
      <c r="AO221" s="2"/>
      <c r="AP221" s="100"/>
      <c r="AQ221" s="2"/>
      <c r="AR221" s="2"/>
      <c r="AS221" s="3"/>
    </row>
    <row r="222">
      <c r="A222" s="7" t="s">
        <v>57</v>
      </c>
      <c r="B222" s="53">
        <v>242000.0</v>
      </c>
      <c r="C222" s="7"/>
      <c r="D222" s="47">
        <v>1.0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47">
        <v>1.0</v>
      </c>
      <c r="R222" s="7"/>
      <c r="S222" s="47">
        <v>1.0</v>
      </c>
      <c r="T222" s="7"/>
      <c r="U222" s="7"/>
      <c r="V222" s="48">
        <f t="shared" si="89"/>
        <v>1</v>
      </c>
      <c r="W222" s="48">
        <f t="shared" si="90"/>
        <v>2</v>
      </c>
      <c r="X222" s="48">
        <f t="shared" si="91"/>
        <v>3</v>
      </c>
      <c r="Y222" s="49">
        <f t="shared" si="92"/>
        <v>726000</v>
      </c>
      <c r="Z222" s="4"/>
      <c r="AA222" s="4"/>
      <c r="AB222" s="4"/>
      <c r="AC222" s="3"/>
      <c r="AD222" s="3"/>
      <c r="AE222" s="2"/>
      <c r="AF222" s="3"/>
      <c r="AG222" s="3"/>
      <c r="AH222" s="3"/>
      <c r="AI222" s="2"/>
      <c r="AJ222" s="2"/>
      <c r="AK222" s="2"/>
      <c r="AL222" s="2"/>
      <c r="AM222" s="2"/>
      <c r="AN222" s="2"/>
      <c r="AO222" s="2"/>
      <c r="AP222" s="100"/>
      <c r="AQ222" s="2"/>
      <c r="AR222" s="2"/>
      <c r="AS222" s="3"/>
    </row>
    <row r="223">
      <c r="A223" s="7" t="s">
        <v>60</v>
      </c>
      <c r="B223" s="53">
        <v>202000.0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47">
        <v>1.0</v>
      </c>
      <c r="R223" s="7"/>
      <c r="S223" s="47">
        <v>1.0</v>
      </c>
      <c r="T223" s="7"/>
      <c r="U223" s="7"/>
      <c r="V223" s="54" t="str">
        <f t="shared" si="89"/>
        <v/>
      </c>
      <c r="W223" s="48">
        <f t="shared" si="90"/>
        <v>2</v>
      </c>
      <c r="X223" s="48">
        <f t="shared" si="91"/>
        <v>2</v>
      </c>
      <c r="Y223" s="49">
        <f t="shared" si="92"/>
        <v>404000</v>
      </c>
      <c r="Z223" s="4"/>
      <c r="AA223" s="4"/>
      <c r="AB223" s="4"/>
      <c r="AC223" s="3"/>
      <c r="AD223" s="3"/>
      <c r="AE223" s="2"/>
      <c r="AF223" s="3"/>
      <c r="AG223" s="3"/>
      <c r="AH223" s="3"/>
      <c r="AI223" s="2"/>
      <c r="AJ223" s="2"/>
      <c r="AK223" s="2"/>
      <c r="AL223" s="2"/>
      <c r="AM223" s="2"/>
      <c r="AN223" s="2"/>
      <c r="AO223" s="2"/>
      <c r="AP223" s="100"/>
      <c r="AQ223" s="2"/>
      <c r="AR223" s="2"/>
      <c r="AS223" s="3"/>
    </row>
    <row r="224">
      <c r="A224" s="7" t="s">
        <v>61</v>
      </c>
      <c r="B224" s="53">
        <v>175000.0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47">
        <v>1.0</v>
      </c>
      <c r="R224" s="7"/>
      <c r="S224" s="47">
        <v>1.0</v>
      </c>
      <c r="T224" s="7"/>
      <c r="U224" s="7"/>
      <c r="V224" s="54" t="str">
        <f t="shared" si="89"/>
        <v/>
      </c>
      <c r="W224" s="48">
        <f t="shared" si="90"/>
        <v>2</v>
      </c>
      <c r="X224" s="48">
        <f t="shared" si="91"/>
        <v>2</v>
      </c>
      <c r="Y224" s="49">
        <f t="shared" si="92"/>
        <v>350000</v>
      </c>
      <c r="Z224" s="4"/>
      <c r="AA224" s="4"/>
      <c r="AB224" s="4"/>
      <c r="AC224" s="3"/>
      <c r="AD224" s="3"/>
      <c r="AE224" s="2"/>
      <c r="AF224" s="3"/>
      <c r="AG224" s="3"/>
      <c r="AH224" s="3"/>
      <c r="AI224" s="2"/>
      <c r="AJ224" s="2"/>
      <c r="AK224" s="2"/>
      <c r="AL224" s="2"/>
      <c r="AM224" s="2"/>
      <c r="AN224" s="2"/>
      <c r="AO224" s="2"/>
      <c r="AP224" s="100"/>
      <c r="AQ224" s="2"/>
      <c r="AR224" s="2"/>
      <c r="AS224" s="3"/>
    </row>
    <row r="225">
      <c r="A225" s="7" t="s">
        <v>62</v>
      </c>
      <c r="B225" s="53">
        <v>233000.0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54" t="str">
        <f t="shared" si="89"/>
        <v/>
      </c>
      <c r="W225" s="48">
        <f t="shared" si="90"/>
        <v>0</v>
      </c>
      <c r="X225" s="48">
        <f t="shared" si="91"/>
        <v>0</v>
      </c>
      <c r="Y225" s="49">
        <f t="shared" si="92"/>
        <v>0</v>
      </c>
      <c r="Z225" s="4"/>
      <c r="AA225" s="4"/>
      <c r="AB225" s="4"/>
      <c r="AC225" s="3"/>
      <c r="AD225" s="3"/>
      <c r="AE225" s="2"/>
      <c r="AF225" s="3"/>
      <c r="AG225" s="3"/>
      <c r="AH225" s="3"/>
      <c r="AI225" s="2"/>
      <c r="AJ225" s="2"/>
      <c r="AK225" s="2"/>
      <c r="AL225" s="2"/>
      <c r="AM225" s="2"/>
      <c r="AN225" s="2"/>
      <c r="AO225" s="2"/>
      <c r="AP225" s="100"/>
      <c r="AQ225" s="2"/>
      <c r="AR225" s="2"/>
      <c r="AS225" s="3"/>
    </row>
    <row r="226">
      <c r="A226" s="7" t="s">
        <v>63</v>
      </c>
      <c r="B226" s="8"/>
      <c r="C226" s="7"/>
      <c r="D226" s="47">
        <f t="shared" ref="D226:W226" si="93">SUM(D216:D225)</f>
        <v>10</v>
      </c>
      <c r="E226" s="47">
        <f t="shared" si="93"/>
        <v>0</v>
      </c>
      <c r="F226" s="47">
        <f t="shared" si="93"/>
        <v>0</v>
      </c>
      <c r="G226" s="47">
        <f t="shared" si="93"/>
        <v>37</v>
      </c>
      <c r="H226" s="47">
        <f t="shared" si="93"/>
        <v>0</v>
      </c>
      <c r="I226" s="47">
        <f t="shared" si="93"/>
        <v>11</v>
      </c>
      <c r="J226" s="47">
        <f t="shared" si="93"/>
        <v>0</v>
      </c>
      <c r="K226" s="47">
        <f t="shared" si="93"/>
        <v>25</v>
      </c>
      <c r="L226" s="47">
        <f t="shared" si="93"/>
        <v>0</v>
      </c>
      <c r="M226" s="47">
        <f t="shared" si="93"/>
        <v>15</v>
      </c>
      <c r="N226" s="47">
        <f t="shared" si="93"/>
        <v>0</v>
      </c>
      <c r="O226" s="47">
        <f t="shared" si="93"/>
        <v>5</v>
      </c>
      <c r="P226" s="47">
        <f t="shared" si="93"/>
        <v>0</v>
      </c>
      <c r="Q226" s="47">
        <f t="shared" si="93"/>
        <v>8</v>
      </c>
      <c r="R226" s="47">
        <f t="shared" si="93"/>
        <v>0</v>
      </c>
      <c r="S226" s="47">
        <f t="shared" si="93"/>
        <v>5</v>
      </c>
      <c r="T226" s="47">
        <f t="shared" si="93"/>
        <v>0</v>
      </c>
      <c r="U226" s="47">
        <f t="shared" si="93"/>
        <v>0</v>
      </c>
      <c r="V226" s="101">
        <f t="shared" si="93"/>
        <v>10</v>
      </c>
      <c r="W226" s="101">
        <f t="shared" si="93"/>
        <v>106</v>
      </c>
      <c r="X226" s="48">
        <f t="shared" si="91"/>
        <v>116</v>
      </c>
      <c r="Y226" s="102">
        <f>SUM(Y216:Y225)</f>
        <v>42041000</v>
      </c>
      <c r="Z226" s="4"/>
      <c r="AA226" s="4"/>
      <c r="AB226" s="4"/>
      <c r="AC226" s="3"/>
      <c r="AD226" s="3"/>
      <c r="AE226" s="2"/>
      <c r="AF226" s="3"/>
      <c r="AG226" s="3"/>
      <c r="AH226" s="3"/>
      <c r="AI226" s="2"/>
      <c r="AJ226" s="2"/>
      <c r="AK226" s="2"/>
      <c r="AL226" s="2"/>
      <c r="AM226" s="2"/>
      <c r="AN226" s="2"/>
      <c r="AO226" s="2"/>
      <c r="AP226" s="100"/>
      <c r="AQ226" s="2"/>
      <c r="AR226" s="2"/>
      <c r="AS226" s="3"/>
    </row>
    <row r="227">
      <c r="A227" s="7" t="s">
        <v>64</v>
      </c>
      <c r="B227" s="8"/>
      <c r="C227" s="7"/>
      <c r="D227" s="7"/>
      <c r="E227" s="7"/>
      <c r="F227" s="7"/>
      <c r="G227" s="47">
        <f>G226-H226</f>
        <v>37</v>
      </c>
      <c r="H227" s="7"/>
      <c r="I227" s="47">
        <f>I226-J226</f>
        <v>11</v>
      </c>
      <c r="J227" s="7"/>
      <c r="K227" s="47">
        <f>K226-L226</f>
        <v>25</v>
      </c>
      <c r="L227" s="7"/>
      <c r="M227" s="47">
        <f>M226-N226</f>
        <v>15</v>
      </c>
      <c r="N227" s="7"/>
      <c r="O227" s="47">
        <f>O226-P226</f>
        <v>5</v>
      </c>
      <c r="P227" s="7"/>
      <c r="Q227" s="47">
        <f>Q226-R226</f>
        <v>8</v>
      </c>
      <c r="R227" s="7"/>
      <c r="S227" s="47">
        <f>S226-T226</f>
        <v>5</v>
      </c>
      <c r="T227" s="7"/>
      <c r="U227" s="7"/>
      <c r="V227" s="54"/>
      <c r="W227" s="54"/>
      <c r="X227" s="48">
        <f>sum(X216:X226)</f>
        <v>232</v>
      </c>
      <c r="Y227" s="55"/>
      <c r="Z227" s="4"/>
      <c r="AA227" s="4"/>
      <c r="AB227" s="4"/>
      <c r="AC227" s="3"/>
      <c r="AD227" s="3"/>
      <c r="AE227" s="2"/>
      <c r="AF227" s="3"/>
      <c r="AG227" s="3"/>
      <c r="AH227" s="3"/>
      <c r="AI227" s="2"/>
      <c r="AJ227" s="2"/>
      <c r="AK227" s="2"/>
      <c r="AL227" s="2"/>
      <c r="AM227" s="2"/>
      <c r="AN227" s="2"/>
      <c r="AO227" s="2"/>
      <c r="AP227" s="100"/>
      <c r="AQ227" s="2"/>
      <c r="AR227" s="2"/>
      <c r="AS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/>
      <c r="AA228" s="4"/>
      <c r="AB228" s="4"/>
      <c r="AC228" s="3"/>
      <c r="AD228" s="3"/>
      <c r="AE228" s="2"/>
      <c r="AF228" s="3"/>
      <c r="AG228" s="3"/>
      <c r="AH228" s="3"/>
      <c r="AI228" s="2"/>
      <c r="AJ228" s="2"/>
      <c r="AK228" s="2"/>
      <c r="AL228" s="2"/>
      <c r="AM228" s="2"/>
      <c r="AN228" s="2"/>
      <c r="AO228" s="2"/>
      <c r="AP228" s="100"/>
      <c r="AQ228" s="2"/>
      <c r="AR228" s="2"/>
      <c r="AS228" s="3"/>
    </row>
    <row r="229">
      <c r="A229" s="7"/>
      <c r="B229" s="8"/>
      <c r="C229" s="7"/>
      <c r="D229" s="9">
        <v>46007.0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  <c r="X229" s="6"/>
      <c r="Y229" s="6"/>
      <c r="Z229" s="4"/>
      <c r="AA229" s="4"/>
      <c r="AB229" s="4"/>
      <c r="AC229" s="3"/>
      <c r="AD229" s="3"/>
      <c r="AE229" s="2"/>
      <c r="AF229" s="3"/>
      <c r="AG229" s="3"/>
      <c r="AH229" s="3"/>
      <c r="AI229" s="2"/>
      <c r="AJ229" s="2"/>
      <c r="AK229" s="2"/>
      <c r="AL229" s="2"/>
      <c r="AM229" s="2"/>
      <c r="AN229" s="2"/>
      <c r="AO229" s="2"/>
      <c r="AP229" s="100"/>
      <c r="AQ229" s="2"/>
      <c r="AR229" s="2"/>
      <c r="AS229" s="3"/>
    </row>
    <row r="230">
      <c r="A230" s="70" t="s">
        <v>6</v>
      </c>
      <c r="B230" s="34" t="b">
        <v>0</v>
      </c>
      <c r="C230" s="7"/>
      <c r="D230" s="71" t="s">
        <v>7</v>
      </c>
      <c r="E230" s="11"/>
      <c r="F230" s="7"/>
      <c r="G230" s="71" t="s">
        <v>8</v>
      </c>
      <c r="H230" s="11"/>
      <c r="I230" s="71" t="s">
        <v>9</v>
      </c>
      <c r="J230" s="11"/>
      <c r="K230" s="72" t="s">
        <v>10</v>
      </c>
      <c r="L230" s="11"/>
      <c r="M230" s="71" t="s">
        <v>11</v>
      </c>
      <c r="N230" s="11"/>
      <c r="O230" s="71" t="s">
        <v>12</v>
      </c>
      <c r="P230" s="11"/>
      <c r="Q230" s="71" t="s">
        <v>13</v>
      </c>
      <c r="R230" s="11"/>
      <c r="S230" s="71" t="s">
        <v>14</v>
      </c>
      <c r="T230" s="11"/>
      <c r="U230" s="35" t="s">
        <v>15</v>
      </c>
      <c r="V230" s="73" t="s">
        <v>16</v>
      </c>
      <c r="W230" s="10"/>
      <c r="X230" s="10"/>
      <c r="Y230" s="11"/>
      <c r="Z230" s="4"/>
      <c r="AA230" s="4"/>
      <c r="AB230" s="4"/>
      <c r="AC230" s="3"/>
      <c r="AD230" s="3"/>
      <c r="AE230" s="2"/>
      <c r="AF230" s="3"/>
      <c r="AG230" s="3"/>
      <c r="AH230" s="3"/>
      <c r="AI230" s="2"/>
      <c r="AJ230" s="2"/>
      <c r="AK230" s="2"/>
      <c r="AL230" s="2"/>
      <c r="AM230" s="2"/>
      <c r="AN230" s="2"/>
      <c r="AO230" s="2"/>
      <c r="AP230" s="100"/>
      <c r="AQ230" s="2"/>
      <c r="AR230" s="2"/>
      <c r="AS230" s="3"/>
    </row>
    <row r="231">
      <c r="A231" s="7"/>
      <c r="B231" s="34" t="s">
        <v>28</v>
      </c>
      <c r="C231" s="35" t="s">
        <v>29</v>
      </c>
      <c r="D231" s="35" t="s">
        <v>30</v>
      </c>
      <c r="E231" s="35" t="s">
        <v>31</v>
      </c>
      <c r="F231" s="35" t="s">
        <v>32</v>
      </c>
      <c r="G231" s="35" t="s">
        <v>33</v>
      </c>
      <c r="H231" s="35" t="s">
        <v>31</v>
      </c>
      <c r="I231" s="35" t="s">
        <v>33</v>
      </c>
      <c r="J231" s="35" t="s">
        <v>31</v>
      </c>
      <c r="K231" s="35" t="s">
        <v>33</v>
      </c>
      <c r="L231" s="35" t="s">
        <v>31</v>
      </c>
      <c r="M231" s="35" t="s">
        <v>33</v>
      </c>
      <c r="N231" s="35" t="s">
        <v>31</v>
      </c>
      <c r="O231" s="35" t="s">
        <v>33</v>
      </c>
      <c r="P231" s="35" t="s">
        <v>31</v>
      </c>
      <c r="Q231" s="35" t="s">
        <v>33</v>
      </c>
      <c r="R231" s="35" t="s">
        <v>31</v>
      </c>
      <c r="S231" s="35" t="s">
        <v>33</v>
      </c>
      <c r="T231" s="35" t="s">
        <v>31</v>
      </c>
      <c r="U231" s="35" t="s">
        <v>34</v>
      </c>
      <c r="V231" s="36" t="s">
        <v>7</v>
      </c>
      <c r="W231" s="36" t="s">
        <v>35</v>
      </c>
      <c r="X231" s="36" t="s">
        <v>36</v>
      </c>
      <c r="Y231" s="36" t="s">
        <v>37</v>
      </c>
      <c r="Z231" s="4"/>
      <c r="AA231" s="4"/>
      <c r="AB231" s="4"/>
      <c r="AC231" s="3"/>
      <c r="AD231" s="3"/>
      <c r="AE231" s="2"/>
      <c r="AF231" s="3"/>
      <c r="AG231" s="3"/>
      <c r="AH231" s="3"/>
      <c r="AI231" s="2"/>
      <c r="AJ231" s="2"/>
      <c r="AK231" s="2"/>
      <c r="AL231" s="2"/>
      <c r="AM231" s="2"/>
      <c r="AN231" s="2"/>
      <c r="AO231" s="2"/>
      <c r="AP231" s="100"/>
      <c r="AQ231" s="2"/>
      <c r="AR231" s="2"/>
      <c r="AS231" s="3"/>
    </row>
    <row r="232">
      <c r="A232" s="7" t="s">
        <v>42</v>
      </c>
      <c r="B232" s="46">
        <v>335000.0</v>
      </c>
      <c r="C232" s="7"/>
      <c r="D232" s="47">
        <v>1.0</v>
      </c>
      <c r="E232" s="7"/>
      <c r="F232" s="7"/>
      <c r="G232" s="47">
        <v>14.0</v>
      </c>
      <c r="H232" s="7"/>
      <c r="I232" s="47">
        <v>8.0</v>
      </c>
      <c r="J232" s="7"/>
      <c r="K232" s="47">
        <v>22.0</v>
      </c>
      <c r="L232" s="7"/>
      <c r="M232" s="47">
        <v>11.0</v>
      </c>
      <c r="N232" s="7"/>
      <c r="O232" s="7"/>
      <c r="P232" s="7"/>
      <c r="Q232" s="47">
        <v>1.0</v>
      </c>
      <c r="R232" s="7"/>
      <c r="S232" s="7"/>
      <c r="T232" s="7"/>
      <c r="U232" s="7"/>
      <c r="V232" s="48">
        <f t="shared" ref="V232:V241" si="94">D232</f>
        <v>1</v>
      </c>
      <c r="W232" s="48">
        <f t="shared" ref="W232:W241" si="95">G232+I232+K232+M232+O232+Q232+S232</f>
        <v>56</v>
      </c>
      <c r="X232" s="48">
        <f t="shared" ref="X232:X242" si="96">V232+W232</f>
        <v>57</v>
      </c>
      <c r="Y232" s="49">
        <f t="shared" ref="Y232:Y241" si="97">B232*X232</f>
        <v>19095000</v>
      </c>
      <c r="Z232" s="4"/>
      <c r="AA232" s="4"/>
      <c r="AB232" s="4"/>
      <c r="AC232" s="3"/>
      <c r="AD232" s="3"/>
      <c r="AE232" s="2"/>
      <c r="AF232" s="3"/>
      <c r="AG232" s="3"/>
      <c r="AH232" s="3"/>
      <c r="AI232" s="2"/>
      <c r="AJ232" s="2"/>
      <c r="AK232" s="2"/>
      <c r="AL232" s="2"/>
      <c r="AM232" s="2"/>
      <c r="AN232" s="2"/>
      <c r="AO232" s="2"/>
      <c r="AP232" s="100"/>
      <c r="AQ232" s="2"/>
      <c r="AR232" s="2"/>
      <c r="AS232" s="3"/>
    </row>
    <row r="233">
      <c r="A233" s="7" t="s">
        <v>45</v>
      </c>
      <c r="B233" s="13">
        <v>395000.0</v>
      </c>
      <c r="C233" s="6"/>
      <c r="D233" s="47">
        <v>5.0</v>
      </c>
      <c r="E233" s="7"/>
      <c r="F233" s="7"/>
      <c r="G233" s="47">
        <v>17.0</v>
      </c>
      <c r="H233" s="7"/>
      <c r="I233" s="47">
        <v>3.0</v>
      </c>
      <c r="J233" s="7"/>
      <c r="K233" s="7"/>
      <c r="L233" s="7"/>
      <c r="M233" s="47">
        <v>3.0</v>
      </c>
      <c r="N233" s="7"/>
      <c r="O233" s="47">
        <v>5.0</v>
      </c>
      <c r="P233" s="7"/>
      <c r="Q233" s="47">
        <v>3.0</v>
      </c>
      <c r="R233" s="7"/>
      <c r="S233" s="7"/>
      <c r="T233" s="7"/>
      <c r="U233" s="7"/>
      <c r="V233" s="48">
        <f t="shared" si="94"/>
        <v>5</v>
      </c>
      <c r="W233" s="48">
        <f t="shared" si="95"/>
        <v>31</v>
      </c>
      <c r="X233" s="48">
        <f t="shared" si="96"/>
        <v>36</v>
      </c>
      <c r="Y233" s="49">
        <f t="shared" si="97"/>
        <v>14220000</v>
      </c>
      <c r="Z233" s="4"/>
      <c r="AA233" s="4"/>
      <c r="AB233" s="4"/>
      <c r="AC233" s="3"/>
      <c r="AD233" s="3"/>
      <c r="AE233" s="2"/>
      <c r="AF233" s="3"/>
      <c r="AG233" s="3"/>
      <c r="AH233" s="3"/>
      <c r="AI233" s="2"/>
      <c r="AJ233" s="2"/>
      <c r="AK233" s="2"/>
      <c r="AL233" s="2"/>
      <c r="AM233" s="2"/>
      <c r="AN233" s="2"/>
      <c r="AO233" s="2"/>
      <c r="AP233" s="100"/>
      <c r="AQ233" s="2"/>
      <c r="AR233" s="2"/>
      <c r="AS233" s="3"/>
    </row>
    <row r="234">
      <c r="A234" s="7" t="s">
        <v>48</v>
      </c>
      <c r="B234" s="46">
        <v>450000.0</v>
      </c>
      <c r="C234" s="7"/>
      <c r="D234" s="47">
        <v>1.0</v>
      </c>
      <c r="E234" s="7"/>
      <c r="F234" s="7"/>
      <c r="G234" s="47">
        <v>1.0</v>
      </c>
      <c r="H234" s="7"/>
      <c r="I234" s="7"/>
      <c r="J234" s="7"/>
      <c r="K234" s="47">
        <v>3.0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48">
        <f t="shared" si="94"/>
        <v>1</v>
      </c>
      <c r="W234" s="48">
        <f t="shared" si="95"/>
        <v>4</v>
      </c>
      <c r="X234" s="48">
        <f t="shared" si="96"/>
        <v>5</v>
      </c>
      <c r="Y234" s="49">
        <f t="shared" si="97"/>
        <v>2250000</v>
      </c>
      <c r="Z234" s="4"/>
      <c r="AA234" s="4"/>
      <c r="AB234" s="4"/>
      <c r="AC234" s="3"/>
      <c r="AD234" s="3"/>
      <c r="AE234" s="2"/>
      <c r="AF234" s="3"/>
      <c r="AG234" s="3"/>
      <c r="AH234" s="3"/>
      <c r="AI234" s="2"/>
      <c r="AJ234" s="2"/>
      <c r="AK234" s="2"/>
      <c r="AL234" s="2"/>
      <c r="AM234" s="2"/>
      <c r="AN234" s="2"/>
      <c r="AO234" s="2"/>
      <c r="AP234" s="100"/>
      <c r="AQ234" s="2"/>
      <c r="AR234" s="2"/>
      <c r="AS234" s="3"/>
    </row>
    <row r="235">
      <c r="A235" s="7" t="s">
        <v>50</v>
      </c>
      <c r="B235" s="46">
        <v>575000.0</v>
      </c>
      <c r="C235" s="7"/>
      <c r="D235" s="47">
        <v>1.0</v>
      </c>
      <c r="E235" s="7"/>
      <c r="F235" s="7"/>
      <c r="G235" s="47">
        <v>5.0</v>
      </c>
      <c r="H235" s="7"/>
      <c r="I235" s="7"/>
      <c r="J235" s="7"/>
      <c r="K235" s="7"/>
      <c r="L235" s="7"/>
      <c r="M235" s="47">
        <v>1.0</v>
      </c>
      <c r="N235" s="7"/>
      <c r="O235" s="7"/>
      <c r="P235" s="7"/>
      <c r="Q235" s="7"/>
      <c r="R235" s="7"/>
      <c r="S235" s="7"/>
      <c r="T235" s="7"/>
      <c r="U235" s="7"/>
      <c r="V235" s="48">
        <f t="shared" si="94"/>
        <v>1</v>
      </c>
      <c r="W235" s="48">
        <f t="shared" si="95"/>
        <v>6</v>
      </c>
      <c r="X235" s="48">
        <f t="shared" si="96"/>
        <v>7</v>
      </c>
      <c r="Y235" s="49">
        <f t="shared" si="97"/>
        <v>4025000</v>
      </c>
      <c r="Z235" s="4"/>
      <c r="AA235" s="4"/>
      <c r="AB235" s="4"/>
      <c r="AC235" s="3"/>
      <c r="AD235" s="3"/>
      <c r="AE235" s="2"/>
      <c r="AF235" s="3"/>
      <c r="AG235" s="3"/>
      <c r="AH235" s="3"/>
      <c r="AI235" s="2"/>
      <c r="AJ235" s="2"/>
      <c r="AK235" s="2"/>
      <c r="AL235" s="2"/>
      <c r="AM235" s="2"/>
      <c r="AN235" s="2"/>
      <c r="AO235" s="2"/>
      <c r="AP235" s="100"/>
      <c r="AQ235" s="2"/>
      <c r="AR235" s="2"/>
      <c r="AS235" s="3"/>
    </row>
    <row r="236">
      <c r="A236" s="7" t="s">
        <v>53</v>
      </c>
      <c r="B236" s="53">
        <v>400000.0</v>
      </c>
      <c r="C236" s="7"/>
      <c r="D236" s="47">
        <v>1.0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47">
        <v>1.0</v>
      </c>
      <c r="R236" s="7"/>
      <c r="S236" s="47">
        <v>1.0</v>
      </c>
      <c r="T236" s="7"/>
      <c r="U236" s="7"/>
      <c r="V236" s="48">
        <f t="shared" si="94"/>
        <v>1</v>
      </c>
      <c r="W236" s="48">
        <f t="shared" si="95"/>
        <v>2</v>
      </c>
      <c r="X236" s="48">
        <f t="shared" si="96"/>
        <v>3</v>
      </c>
      <c r="Y236" s="49">
        <f t="shared" si="97"/>
        <v>1200000</v>
      </c>
      <c r="Z236" s="4"/>
      <c r="AA236" s="4"/>
      <c r="AB236" s="4"/>
      <c r="AC236" s="3"/>
      <c r="AD236" s="3"/>
      <c r="AE236" s="2"/>
      <c r="AF236" s="3"/>
      <c r="AG236" s="3"/>
      <c r="AH236" s="3"/>
      <c r="AI236" s="2"/>
      <c r="AJ236" s="2"/>
      <c r="AK236" s="2"/>
      <c r="AL236" s="2"/>
      <c r="AM236" s="2"/>
      <c r="AN236" s="2"/>
      <c r="AO236" s="2"/>
      <c r="AP236" s="100"/>
      <c r="AQ236" s="2"/>
      <c r="AR236" s="2"/>
      <c r="AS236" s="3"/>
    </row>
    <row r="237">
      <c r="A237" s="7" t="s">
        <v>55</v>
      </c>
      <c r="B237" s="53">
        <v>185000.0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47">
        <v>1.0</v>
      </c>
      <c r="T237" s="7"/>
      <c r="U237" s="7"/>
      <c r="V237" s="54" t="str">
        <f t="shared" si="94"/>
        <v/>
      </c>
      <c r="W237" s="48">
        <f t="shared" si="95"/>
        <v>1</v>
      </c>
      <c r="X237" s="48">
        <f t="shared" si="96"/>
        <v>1</v>
      </c>
      <c r="Y237" s="49">
        <f t="shared" si="97"/>
        <v>185000</v>
      </c>
      <c r="Z237" s="4"/>
      <c r="AA237" s="4"/>
      <c r="AB237" s="4"/>
      <c r="AC237" s="3"/>
      <c r="AD237" s="3"/>
      <c r="AE237" s="2"/>
      <c r="AF237" s="3"/>
      <c r="AG237" s="3"/>
      <c r="AH237" s="3"/>
      <c r="AI237" s="2"/>
      <c r="AJ237" s="2"/>
      <c r="AK237" s="2"/>
      <c r="AL237" s="2"/>
      <c r="AM237" s="2"/>
      <c r="AN237" s="2"/>
      <c r="AO237" s="2"/>
      <c r="AP237" s="100"/>
      <c r="AQ237" s="2"/>
      <c r="AR237" s="2"/>
      <c r="AS237" s="3"/>
    </row>
    <row r="238">
      <c r="A238" s="7" t="s">
        <v>57</v>
      </c>
      <c r="B238" s="53">
        <v>242000.0</v>
      </c>
      <c r="C238" s="7"/>
      <c r="D238" s="47">
        <v>1.0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47">
        <v>1.0</v>
      </c>
      <c r="R238" s="7"/>
      <c r="S238" s="47">
        <v>1.0</v>
      </c>
      <c r="T238" s="7"/>
      <c r="U238" s="7"/>
      <c r="V238" s="48">
        <f t="shared" si="94"/>
        <v>1</v>
      </c>
      <c r="W238" s="48">
        <f t="shared" si="95"/>
        <v>2</v>
      </c>
      <c r="X238" s="48">
        <f t="shared" si="96"/>
        <v>3</v>
      </c>
      <c r="Y238" s="49">
        <f t="shared" si="97"/>
        <v>726000</v>
      </c>
      <c r="Z238" s="4"/>
      <c r="AA238" s="4"/>
      <c r="AB238" s="4"/>
      <c r="AC238" s="3"/>
      <c r="AD238" s="3"/>
      <c r="AE238" s="2"/>
      <c r="AF238" s="3"/>
      <c r="AG238" s="3"/>
      <c r="AH238" s="3"/>
      <c r="AI238" s="2"/>
      <c r="AJ238" s="2"/>
      <c r="AK238" s="2"/>
      <c r="AL238" s="2"/>
      <c r="AM238" s="2"/>
      <c r="AN238" s="2"/>
      <c r="AO238" s="2"/>
      <c r="AP238" s="100"/>
      <c r="AQ238" s="2"/>
      <c r="AR238" s="2"/>
      <c r="AS238" s="3"/>
    </row>
    <row r="239">
      <c r="A239" s="7" t="s">
        <v>60</v>
      </c>
      <c r="B239" s="53">
        <v>202000.0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47">
        <v>1.0</v>
      </c>
      <c r="R239" s="7"/>
      <c r="S239" s="47">
        <v>1.0</v>
      </c>
      <c r="T239" s="7"/>
      <c r="U239" s="7"/>
      <c r="V239" s="54" t="str">
        <f t="shared" si="94"/>
        <v/>
      </c>
      <c r="W239" s="48">
        <f t="shared" si="95"/>
        <v>2</v>
      </c>
      <c r="X239" s="48">
        <f t="shared" si="96"/>
        <v>2</v>
      </c>
      <c r="Y239" s="49">
        <f t="shared" si="97"/>
        <v>404000</v>
      </c>
      <c r="Z239" s="4"/>
      <c r="AA239" s="4"/>
      <c r="AB239" s="4"/>
      <c r="AC239" s="3"/>
      <c r="AD239" s="3"/>
      <c r="AE239" s="2"/>
      <c r="AF239" s="3"/>
      <c r="AG239" s="3"/>
      <c r="AH239" s="3"/>
      <c r="AI239" s="2"/>
      <c r="AJ239" s="2"/>
      <c r="AK239" s="2"/>
      <c r="AL239" s="2"/>
      <c r="AM239" s="2"/>
      <c r="AN239" s="2"/>
      <c r="AO239" s="2"/>
      <c r="AP239" s="100"/>
      <c r="AQ239" s="2"/>
      <c r="AR239" s="2"/>
      <c r="AS239" s="3"/>
    </row>
    <row r="240">
      <c r="A240" s="7" t="s">
        <v>61</v>
      </c>
      <c r="B240" s="53">
        <v>175000.0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47">
        <v>1.0</v>
      </c>
      <c r="R240" s="7"/>
      <c r="S240" s="47">
        <v>1.0</v>
      </c>
      <c r="T240" s="7"/>
      <c r="U240" s="7"/>
      <c r="V240" s="54" t="str">
        <f t="shared" si="94"/>
        <v/>
      </c>
      <c r="W240" s="48">
        <f t="shared" si="95"/>
        <v>2</v>
      </c>
      <c r="X240" s="48">
        <f t="shared" si="96"/>
        <v>2</v>
      </c>
      <c r="Y240" s="49">
        <f t="shared" si="97"/>
        <v>350000</v>
      </c>
      <c r="Z240" s="4"/>
      <c r="AA240" s="4"/>
      <c r="AB240" s="4"/>
      <c r="AC240" s="3"/>
      <c r="AD240" s="3"/>
      <c r="AE240" s="2"/>
      <c r="AF240" s="3"/>
      <c r="AG240" s="3"/>
      <c r="AH240" s="3"/>
      <c r="AI240" s="2"/>
      <c r="AJ240" s="2"/>
      <c r="AK240" s="2"/>
      <c r="AL240" s="2"/>
      <c r="AM240" s="2"/>
      <c r="AN240" s="2"/>
      <c r="AO240" s="2"/>
      <c r="AP240" s="100"/>
      <c r="AQ240" s="2"/>
      <c r="AR240" s="2"/>
      <c r="AS240" s="3"/>
    </row>
    <row r="241">
      <c r="A241" s="7" t="s">
        <v>62</v>
      </c>
      <c r="B241" s="53">
        <v>233000.0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54" t="str">
        <f t="shared" si="94"/>
        <v/>
      </c>
      <c r="W241" s="48">
        <f t="shared" si="95"/>
        <v>0</v>
      </c>
      <c r="X241" s="48">
        <f t="shared" si="96"/>
        <v>0</v>
      </c>
      <c r="Y241" s="49">
        <f t="shared" si="97"/>
        <v>0</v>
      </c>
      <c r="Z241" s="4"/>
      <c r="AA241" s="4"/>
      <c r="AB241" s="4"/>
      <c r="AC241" s="3"/>
      <c r="AD241" s="3"/>
      <c r="AE241" s="2"/>
      <c r="AF241" s="3"/>
      <c r="AG241" s="3"/>
      <c r="AH241" s="3"/>
      <c r="AI241" s="2"/>
      <c r="AJ241" s="2"/>
      <c r="AK241" s="2"/>
      <c r="AL241" s="2"/>
      <c r="AM241" s="2"/>
      <c r="AN241" s="2"/>
      <c r="AO241" s="2"/>
      <c r="AP241" s="100"/>
      <c r="AQ241" s="2"/>
      <c r="AR241" s="2"/>
      <c r="AS241" s="3"/>
    </row>
    <row r="242">
      <c r="A242" s="7" t="s">
        <v>63</v>
      </c>
      <c r="B242" s="8"/>
      <c r="C242" s="7"/>
      <c r="D242" s="47">
        <f t="shared" ref="D242:W242" si="98">SUM(D232:D241)</f>
        <v>10</v>
      </c>
      <c r="E242" s="47">
        <f t="shared" si="98"/>
        <v>0</v>
      </c>
      <c r="F242" s="47">
        <f t="shared" si="98"/>
        <v>0</v>
      </c>
      <c r="G242" s="47">
        <f t="shared" si="98"/>
        <v>37</v>
      </c>
      <c r="H242" s="47">
        <f t="shared" si="98"/>
        <v>0</v>
      </c>
      <c r="I242" s="47">
        <f t="shared" si="98"/>
        <v>11</v>
      </c>
      <c r="J242" s="47">
        <f t="shared" si="98"/>
        <v>0</v>
      </c>
      <c r="K242" s="47">
        <f t="shared" si="98"/>
        <v>25</v>
      </c>
      <c r="L242" s="47">
        <f t="shared" si="98"/>
        <v>0</v>
      </c>
      <c r="M242" s="47">
        <f t="shared" si="98"/>
        <v>15</v>
      </c>
      <c r="N242" s="47">
        <f t="shared" si="98"/>
        <v>0</v>
      </c>
      <c r="O242" s="47">
        <f t="shared" si="98"/>
        <v>5</v>
      </c>
      <c r="P242" s="47">
        <f t="shared" si="98"/>
        <v>0</v>
      </c>
      <c r="Q242" s="47">
        <f t="shared" si="98"/>
        <v>8</v>
      </c>
      <c r="R242" s="47">
        <f t="shared" si="98"/>
        <v>0</v>
      </c>
      <c r="S242" s="47">
        <f t="shared" si="98"/>
        <v>5</v>
      </c>
      <c r="T242" s="47">
        <f t="shared" si="98"/>
        <v>0</v>
      </c>
      <c r="U242" s="47">
        <f t="shared" si="98"/>
        <v>0</v>
      </c>
      <c r="V242" s="101">
        <f t="shared" si="98"/>
        <v>10</v>
      </c>
      <c r="W242" s="101">
        <f t="shared" si="98"/>
        <v>106</v>
      </c>
      <c r="X242" s="48">
        <f t="shared" si="96"/>
        <v>116</v>
      </c>
      <c r="Y242" s="102">
        <f>SUM(Y232:Y241)</f>
        <v>42455000</v>
      </c>
      <c r="Z242" s="4"/>
      <c r="AA242" s="4"/>
      <c r="AB242" s="4"/>
      <c r="AC242" s="3"/>
      <c r="AD242" s="3"/>
      <c r="AE242" s="2"/>
      <c r="AF242" s="3"/>
      <c r="AG242" s="3"/>
      <c r="AH242" s="3"/>
      <c r="AI242" s="2"/>
      <c r="AJ242" s="2"/>
      <c r="AK242" s="2"/>
      <c r="AL242" s="2"/>
      <c r="AM242" s="2"/>
      <c r="AN242" s="2"/>
      <c r="AO242" s="2"/>
      <c r="AP242" s="100"/>
      <c r="AQ242" s="2"/>
      <c r="AR242" s="2"/>
      <c r="AS242" s="3"/>
    </row>
    <row r="243">
      <c r="A243" s="7" t="s">
        <v>64</v>
      </c>
      <c r="B243" s="8"/>
      <c r="C243" s="7"/>
      <c r="D243" s="7"/>
      <c r="E243" s="7"/>
      <c r="F243" s="7"/>
      <c r="G243" s="47">
        <f>G242-H242</f>
        <v>37</v>
      </c>
      <c r="H243" s="7"/>
      <c r="I243" s="47">
        <f>I242-J242</f>
        <v>11</v>
      </c>
      <c r="J243" s="7"/>
      <c r="K243" s="47">
        <f>K242-L242</f>
        <v>25</v>
      </c>
      <c r="L243" s="7"/>
      <c r="M243" s="47">
        <f>M242-N242</f>
        <v>15</v>
      </c>
      <c r="N243" s="7"/>
      <c r="O243" s="47">
        <f>O242-P242</f>
        <v>5</v>
      </c>
      <c r="P243" s="7"/>
      <c r="Q243" s="47">
        <f>Q242-R242</f>
        <v>8</v>
      </c>
      <c r="R243" s="7"/>
      <c r="S243" s="47">
        <f>S242-T242</f>
        <v>5</v>
      </c>
      <c r="T243" s="7"/>
      <c r="U243" s="7"/>
      <c r="V243" s="54"/>
      <c r="W243" s="54"/>
      <c r="X243" s="48">
        <f>sum(X232:X242)</f>
        <v>232</v>
      </c>
      <c r="Y243" s="55"/>
      <c r="Z243" s="4"/>
      <c r="AA243" s="4"/>
      <c r="AB243" s="4"/>
      <c r="AC243" s="3"/>
      <c r="AD243" s="3"/>
      <c r="AE243" s="2"/>
      <c r="AF243" s="3"/>
      <c r="AG243" s="3"/>
      <c r="AH243" s="3"/>
      <c r="AI243" s="2"/>
      <c r="AJ243" s="2"/>
      <c r="AK243" s="2"/>
      <c r="AL243" s="2"/>
      <c r="AM243" s="2"/>
      <c r="AN243" s="2"/>
      <c r="AO243" s="2"/>
      <c r="AP243" s="100"/>
      <c r="AQ243" s="2"/>
      <c r="AR243" s="2"/>
      <c r="AS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/>
      <c r="AA244" s="4"/>
      <c r="AB244" s="4"/>
      <c r="AC244" s="3"/>
      <c r="AD244" s="3"/>
      <c r="AE244" s="2"/>
      <c r="AF244" s="3"/>
      <c r="AG244" s="3"/>
      <c r="AH244" s="3"/>
      <c r="AI244" s="2"/>
      <c r="AJ244" s="2"/>
      <c r="AK244" s="2"/>
      <c r="AL244" s="2"/>
      <c r="AM244" s="2"/>
      <c r="AN244" s="2"/>
      <c r="AO244" s="2"/>
      <c r="AP244" s="100"/>
      <c r="AQ244" s="2"/>
      <c r="AR244" s="2"/>
      <c r="AS244" s="3"/>
    </row>
    <row r="245">
      <c r="A245" s="7"/>
      <c r="B245" s="8"/>
      <c r="C245" s="7"/>
      <c r="D245" s="9">
        <v>46008.0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  <c r="X245" s="6"/>
      <c r="Y245" s="6"/>
      <c r="Z245" s="4"/>
      <c r="AA245" s="4"/>
      <c r="AB245" s="4"/>
      <c r="AC245" s="3"/>
      <c r="AD245" s="3"/>
      <c r="AE245" s="2"/>
      <c r="AF245" s="3"/>
      <c r="AG245" s="3"/>
      <c r="AH245" s="3"/>
      <c r="AI245" s="2"/>
      <c r="AJ245" s="2"/>
      <c r="AK245" s="2"/>
      <c r="AL245" s="2"/>
      <c r="AM245" s="2"/>
      <c r="AN245" s="2"/>
      <c r="AO245" s="2"/>
      <c r="AP245" s="100"/>
      <c r="AQ245" s="2"/>
      <c r="AR245" s="2"/>
      <c r="AS245" s="3"/>
    </row>
    <row r="246">
      <c r="A246" s="70" t="s">
        <v>6</v>
      </c>
      <c r="B246" s="34" t="b">
        <v>0</v>
      </c>
      <c r="C246" s="7"/>
      <c r="D246" s="71" t="s">
        <v>7</v>
      </c>
      <c r="E246" s="11"/>
      <c r="F246" s="7"/>
      <c r="G246" s="71" t="s">
        <v>8</v>
      </c>
      <c r="H246" s="11"/>
      <c r="I246" s="71" t="s">
        <v>9</v>
      </c>
      <c r="J246" s="11"/>
      <c r="K246" s="72" t="s">
        <v>10</v>
      </c>
      <c r="L246" s="11"/>
      <c r="M246" s="71" t="s">
        <v>11</v>
      </c>
      <c r="N246" s="11"/>
      <c r="O246" s="71" t="s">
        <v>12</v>
      </c>
      <c r="P246" s="11"/>
      <c r="Q246" s="71" t="s">
        <v>13</v>
      </c>
      <c r="R246" s="11"/>
      <c r="S246" s="71" t="s">
        <v>14</v>
      </c>
      <c r="T246" s="11"/>
      <c r="U246" s="35" t="s">
        <v>15</v>
      </c>
      <c r="V246" s="73" t="s">
        <v>16</v>
      </c>
      <c r="W246" s="10"/>
      <c r="X246" s="10"/>
      <c r="Y246" s="11"/>
      <c r="Z246" s="4"/>
      <c r="AA246" s="4"/>
      <c r="AB246" s="4"/>
      <c r="AC246" s="3"/>
      <c r="AD246" s="3"/>
      <c r="AE246" s="2"/>
      <c r="AF246" s="3"/>
      <c r="AG246" s="3"/>
      <c r="AH246" s="3"/>
      <c r="AI246" s="2"/>
      <c r="AJ246" s="2"/>
      <c r="AK246" s="2"/>
      <c r="AL246" s="2"/>
      <c r="AM246" s="2"/>
      <c r="AN246" s="2"/>
      <c r="AO246" s="2"/>
      <c r="AP246" s="100"/>
      <c r="AQ246" s="2"/>
      <c r="AR246" s="2"/>
      <c r="AS246" s="3"/>
    </row>
    <row r="247">
      <c r="A247" s="7"/>
      <c r="B247" s="34" t="s">
        <v>28</v>
      </c>
      <c r="C247" s="35" t="s">
        <v>29</v>
      </c>
      <c r="D247" s="35" t="s">
        <v>30</v>
      </c>
      <c r="E247" s="35" t="s">
        <v>31</v>
      </c>
      <c r="F247" s="35" t="s">
        <v>32</v>
      </c>
      <c r="G247" s="35" t="s">
        <v>33</v>
      </c>
      <c r="H247" s="35" t="s">
        <v>31</v>
      </c>
      <c r="I247" s="35" t="s">
        <v>33</v>
      </c>
      <c r="J247" s="35" t="s">
        <v>31</v>
      </c>
      <c r="K247" s="35" t="s">
        <v>33</v>
      </c>
      <c r="L247" s="35" t="s">
        <v>31</v>
      </c>
      <c r="M247" s="35" t="s">
        <v>33</v>
      </c>
      <c r="N247" s="35" t="s">
        <v>31</v>
      </c>
      <c r="O247" s="35" t="s">
        <v>33</v>
      </c>
      <c r="P247" s="35" t="s">
        <v>31</v>
      </c>
      <c r="Q247" s="35" t="s">
        <v>33</v>
      </c>
      <c r="R247" s="35" t="s">
        <v>31</v>
      </c>
      <c r="S247" s="35" t="s">
        <v>33</v>
      </c>
      <c r="T247" s="35" t="s">
        <v>31</v>
      </c>
      <c r="U247" s="35" t="s">
        <v>34</v>
      </c>
      <c r="V247" s="36" t="s">
        <v>7</v>
      </c>
      <c r="W247" s="36" t="s">
        <v>35</v>
      </c>
      <c r="X247" s="36" t="s">
        <v>36</v>
      </c>
      <c r="Y247" s="36" t="s">
        <v>37</v>
      </c>
      <c r="Z247" s="4"/>
      <c r="AA247" s="4"/>
      <c r="AB247" s="4"/>
      <c r="AC247" s="3"/>
      <c r="AD247" s="3"/>
      <c r="AE247" s="2"/>
      <c r="AF247" s="3"/>
      <c r="AG247" s="3"/>
      <c r="AH247" s="3"/>
      <c r="AI247" s="2"/>
      <c r="AJ247" s="2"/>
      <c r="AK247" s="2"/>
      <c r="AL247" s="2"/>
      <c r="AM247" s="2"/>
      <c r="AN247" s="2"/>
      <c r="AO247" s="2"/>
      <c r="AP247" s="100"/>
      <c r="AQ247" s="2"/>
      <c r="AR247" s="2"/>
      <c r="AS247" s="3"/>
    </row>
    <row r="248">
      <c r="A248" s="7" t="s">
        <v>42</v>
      </c>
      <c r="B248" s="46">
        <v>335000.0</v>
      </c>
      <c r="C248" s="7"/>
      <c r="D248" s="47">
        <v>1.0</v>
      </c>
      <c r="E248" s="7"/>
      <c r="F248" s="7"/>
      <c r="G248" s="47">
        <v>14.0</v>
      </c>
      <c r="H248" s="7"/>
      <c r="I248" s="47">
        <v>8.0</v>
      </c>
      <c r="J248" s="7"/>
      <c r="K248" s="47">
        <v>22.0</v>
      </c>
      <c r="L248" s="7"/>
      <c r="M248" s="47">
        <v>11.0</v>
      </c>
      <c r="N248" s="7"/>
      <c r="O248" s="7"/>
      <c r="P248" s="7"/>
      <c r="Q248" s="47">
        <v>1.0</v>
      </c>
      <c r="R248" s="7"/>
      <c r="S248" s="7"/>
      <c r="T248" s="7"/>
      <c r="U248" s="7"/>
      <c r="V248" s="48">
        <f t="shared" ref="V248:V257" si="99">D248</f>
        <v>1</v>
      </c>
      <c r="W248" s="48">
        <f t="shared" ref="W248:W257" si="100">G248+I248+K248+M248+O248+Q248+S248</f>
        <v>56</v>
      </c>
      <c r="X248" s="48">
        <f t="shared" ref="X248:X258" si="101">V248+W248</f>
        <v>57</v>
      </c>
      <c r="Y248" s="49">
        <f t="shared" ref="Y248:Y257" si="102">B248*X248</f>
        <v>19095000</v>
      </c>
      <c r="Z248" s="4"/>
      <c r="AA248" s="4"/>
      <c r="AB248" s="4"/>
      <c r="AC248" s="3"/>
      <c r="AD248" s="3"/>
      <c r="AE248" s="2"/>
      <c r="AF248" s="3"/>
      <c r="AG248" s="3"/>
      <c r="AH248" s="3"/>
      <c r="AI248" s="2"/>
      <c r="AJ248" s="2"/>
      <c r="AK248" s="2"/>
      <c r="AL248" s="2"/>
      <c r="AM248" s="2"/>
      <c r="AN248" s="2"/>
      <c r="AO248" s="2"/>
      <c r="AP248" s="100"/>
      <c r="AQ248" s="2"/>
      <c r="AR248" s="2"/>
      <c r="AS248" s="3"/>
    </row>
    <row r="249">
      <c r="A249" s="7" t="s">
        <v>45</v>
      </c>
      <c r="B249" s="13">
        <v>395000.0</v>
      </c>
      <c r="C249" s="103"/>
      <c r="D249" s="47">
        <v>5.0</v>
      </c>
      <c r="E249" s="7"/>
      <c r="F249" s="7"/>
      <c r="G249" s="47">
        <v>17.0</v>
      </c>
      <c r="H249" s="7"/>
      <c r="I249" s="47">
        <v>3.0</v>
      </c>
      <c r="J249" s="7"/>
      <c r="K249" s="7"/>
      <c r="L249" s="7"/>
      <c r="M249" s="47">
        <v>3.0</v>
      </c>
      <c r="N249" s="7"/>
      <c r="O249" s="47">
        <v>5.0</v>
      </c>
      <c r="P249" s="7"/>
      <c r="Q249" s="47">
        <v>3.0</v>
      </c>
      <c r="R249" s="7"/>
      <c r="S249" s="7"/>
      <c r="T249" s="7"/>
      <c r="U249" s="47">
        <v>5.0</v>
      </c>
      <c r="V249" s="48">
        <f t="shared" si="99"/>
        <v>5</v>
      </c>
      <c r="W249" s="48">
        <f t="shared" si="100"/>
        <v>31</v>
      </c>
      <c r="X249" s="48">
        <f t="shared" si="101"/>
        <v>36</v>
      </c>
      <c r="Y249" s="49">
        <f t="shared" si="102"/>
        <v>14220000</v>
      </c>
      <c r="Z249" s="4"/>
      <c r="AA249" s="4"/>
      <c r="AB249" s="4"/>
      <c r="AC249" s="3"/>
      <c r="AD249" s="3"/>
      <c r="AE249" s="2"/>
      <c r="AF249" s="3"/>
      <c r="AG249" s="3"/>
      <c r="AH249" s="3"/>
      <c r="AI249" s="2"/>
      <c r="AJ249" s="2"/>
      <c r="AK249" s="2"/>
      <c r="AL249" s="2"/>
      <c r="AM249" s="2"/>
      <c r="AN249" s="2"/>
      <c r="AO249" s="2"/>
      <c r="AP249" s="100"/>
      <c r="AQ249" s="2"/>
      <c r="AR249" s="2"/>
      <c r="AS249" s="3"/>
    </row>
    <row r="250">
      <c r="A250" s="7" t="s">
        <v>48</v>
      </c>
      <c r="B250" s="46">
        <v>450000.0</v>
      </c>
      <c r="C250" s="7"/>
      <c r="D250" s="47">
        <v>1.0</v>
      </c>
      <c r="E250" s="7"/>
      <c r="F250" s="7"/>
      <c r="G250" s="47">
        <v>1.0</v>
      </c>
      <c r="H250" s="7"/>
      <c r="I250" s="7"/>
      <c r="J250" s="7"/>
      <c r="K250" s="47">
        <v>3.0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48">
        <f t="shared" si="99"/>
        <v>1</v>
      </c>
      <c r="W250" s="48">
        <f t="shared" si="100"/>
        <v>4</v>
      </c>
      <c r="X250" s="48">
        <f t="shared" si="101"/>
        <v>5</v>
      </c>
      <c r="Y250" s="49">
        <f t="shared" si="102"/>
        <v>2250000</v>
      </c>
      <c r="Z250" s="4"/>
      <c r="AA250" s="4"/>
      <c r="AB250" s="4"/>
      <c r="AC250" s="3"/>
      <c r="AD250" s="3"/>
      <c r="AE250" s="2"/>
      <c r="AF250" s="3"/>
      <c r="AG250" s="3"/>
      <c r="AH250" s="3"/>
      <c r="AI250" s="2"/>
      <c r="AJ250" s="2"/>
      <c r="AK250" s="2"/>
      <c r="AL250" s="2"/>
      <c r="AM250" s="2"/>
      <c r="AN250" s="2"/>
      <c r="AO250" s="2"/>
      <c r="AP250" s="100"/>
      <c r="AQ250" s="2"/>
      <c r="AR250" s="2"/>
      <c r="AS250" s="3"/>
    </row>
    <row r="251">
      <c r="A251" s="7" t="s">
        <v>50</v>
      </c>
      <c r="B251" s="46">
        <v>575000.0</v>
      </c>
      <c r="C251" s="7"/>
      <c r="D251" s="47">
        <v>1.0</v>
      </c>
      <c r="E251" s="7"/>
      <c r="F251" s="7"/>
      <c r="G251" s="47">
        <v>5.0</v>
      </c>
      <c r="H251" s="7"/>
      <c r="I251" s="7"/>
      <c r="J251" s="7"/>
      <c r="K251" s="7"/>
      <c r="L251" s="7"/>
      <c r="M251" s="47">
        <v>1.0</v>
      </c>
      <c r="N251" s="7"/>
      <c r="O251" s="7"/>
      <c r="P251" s="7"/>
      <c r="Q251" s="7"/>
      <c r="R251" s="7"/>
      <c r="S251" s="7"/>
      <c r="T251" s="7"/>
      <c r="U251" s="7"/>
      <c r="V251" s="48">
        <f t="shared" si="99"/>
        <v>1</v>
      </c>
      <c r="W251" s="48">
        <f t="shared" si="100"/>
        <v>6</v>
      </c>
      <c r="X251" s="48">
        <f t="shared" si="101"/>
        <v>7</v>
      </c>
      <c r="Y251" s="49">
        <f t="shared" si="102"/>
        <v>4025000</v>
      </c>
      <c r="Z251" s="4"/>
      <c r="AA251" s="4"/>
      <c r="AB251" s="4"/>
      <c r="AC251" s="3"/>
      <c r="AD251" s="3"/>
      <c r="AE251" s="2"/>
      <c r="AF251" s="3"/>
      <c r="AG251" s="3"/>
      <c r="AH251" s="3"/>
      <c r="AI251" s="2"/>
      <c r="AJ251" s="2"/>
      <c r="AK251" s="2"/>
      <c r="AL251" s="2"/>
      <c r="AM251" s="2"/>
      <c r="AN251" s="2"/>
      <c r="AO251" s="2"/>
      <c r="AP251" s="100"/>
      <c r="AQ251" s="2"/>
      <c r="AR251" s="2"/>
      <c r="AS251" s="3"/>
    </row>
    <row r="252">
      <c r="A252" s="7" t="s">
        <v>53</v>
      </c>
      <c r="B252" s="53">
        <v>262000.0</v>
      </c>
      <c r="C252" s="7"/>
      <c r="D252" s="47">
        <v>1.0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47">
        <v>1.0</v>
      </c>
      <c r="R252" s="7"/>
      <c r="S252" s="47">
        <v>1.0</v>
      </c>
      <c r="T252" s="7"/>
      <c r="U252" s="7"/>
      <c r="V252" s="48">
        <f t="shared" si="99"/>
        <v>1</v>
      </c>
      <c r="W252" s="48">
        <f t="shared" si="100"/>
        <v>2</v>
      </c>
      <c r="X252" s="48">
        <f t="shared" si="101"/>
        <v>3</v>
      </c>
      <c r="Y252" s="49">
        <f t="shared" si="102"/>
        <v>786000</v>
      </c>
      <c r="Z252" s="4"/>
      <c r="AA252" s="4"/>
      <c r="AB252" s="4"/>
      <c r="AC252" s="3"/>
      <c r="AD252" s="3"/>
      <c r="AE252" s="2"/>
      <c r="AF252" s="3"/>
      <c r="AG252" s="3"/>
      <c r="AH252" s="3"/>
      <c r="AI252" s="2"/>
      <c r="AJ252" s="2"/>
      <c r="AK252" s="2"/>
      <c r="AL252" s="2"/>
      <c r="AM252" s="2"/>
      <c r="AN252" s="2"/>
      <c r="AO252" s="2"/>
      <c r="AP252" s="100"/>
      <c r="AQ252" s="2"/>
      <c r="AR252" s="2"/>
      <c r="AS252" s="3"/>
    </row>
    <row r="253">
      <c r="A253" s="7" t="s">
        <v>55</v>
      </c>
      <c r="B253" s="53">
        <v>185000.0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47">
        <v>1.0</v>
      </c>
      <c r="T253" s="7"/>
      <c r="U253" s="7"/>
      <c r="V253" s="54" t="str">
        <f t="shared" si="99"/>
        <v/>
      </c>
      <c r="W253" s="48">
        <f t="shared" si="100"/>
        <v>1</v>
      </c>
      <c r="X253" s="48">
        <f t="shared" si="101"/>
        <v>1</v>
      </c>
      <c r="Y253" s="49">
        <f t="shared" si="102"/>
        <v>185000</v>
      </c>
      <c r="Z253" s="4"/>
      <c r="AA253" s="4"/>
      <c r="AB253" s="4"/>
      <c r="AC253" s="3"/>
      <c r="AD253" s="3"/>
      <c r="AE253" s="2"/>
      <c r="AF253" s="3"/>
      <c r="AG253" s="3"/>
      <c r="AH253" s="3"/>
      <c r="AI253" s="2"/>
      <c r="AJ253" s="2"/>
      <c r="AK253" s="2"/>
      <c r="AL253" s="2"/>
      <c r="AM253" s="2"/>
      <c r="AN253" s="2"/>
      <c r="AO253" s="2"/>
      <c r="AP253" s="100"/>
      <c r="AQ253" s="2"/>
      <c r="AR253" s="2"/>
      <c r="AS253" s="3"/>
    </row>
    <row r="254">
      <c r="A254" s="7" t="s">
        <v>57</v>
      </c>
      <c r="B254" s="53">
        <v>242000.0</v>
      </c>
      <c r="C254" s="7"/>
      <c r="D254" s="47">
        <v>1.0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47">
        <v>1.0</v>
      </c>
      <c r="R254" s="7"/>
      <c r="S254" s="47">
        <v>1.0</v>
      </c>
      <c r="T254" s="7"/>
      <c r="U254" s="7"/>
      <c r="V254" s="48">
        <f t="shared" si="99"/>
        <v>1</v>
      </c>
      <c r="W254" s="48">
        <f t="shared" si="100"/>
        <v>2</v>
      </c>
      <c r="X254" s="48">
        <f t="shared" si="101"/>
        <v>3</v>
      </c>
      <c r="Y254" s="49">
        <f t="shared" si="102"/>
        <v>726000</v>
      </c>
      <c r="Z254" s="4"/>
      <c r="AA254" s="4"/>
      <c r="AB254" s="4"/>
      <c r="AC254" s="3"/>
      <c r="AD254" s="3"/>
      <c r="AE254" s="2"/>
      <c r="AF254" s="3"/>
      <c r="AG254" s="3"/>
      <c r="AH254" s="3"/>
      <c r="AI254" s="2"/>
      <c r="AJ254" s="2"/>
      <c r="AK254" s="2"/>
      <c r="AL254" s="2"/>
      <c r="AM254" s="2"/>
      <c r="AN254" s="2"/>
      <c r="AO254" s="2"/>
      <c r="AP254" s="100"/>
      <c r="AQ254" s="2"/>
      <c r="AR254" s="2"/>
      <c r="AS254" s="3"/>
    </row>
    <row r="255">
      <c r="A255" s="7" t="s">
        <v>60</v>
      </c>
      <c r="B255" s="53">
        <v>202000.0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47">
        <v>1.0</v>
      </c>
      <c r="R255" s="7"/>
      <c r="S255" s="47">
        <v>1.0</v>
      </c>
      <c r="T255" s="7"/>
      <c r="U255" s="7"/>
      <c r="V255" s="54" t="str">
        <f t="shared" si="99"/>
        <v/>
      </c>
      <c r="W255" s="48">
        <f t="shared" si="100"/>
        <v>2</v>
      </c>
      <c r="X255" s="48">
        <f t="shared" si="101"/>
        <v>2</v>
      </c>
      <c r="Y255" s="49">
        <f t="shared" si="102"/>
        <v>404000</v>
      </c>
      <c r="Z255" s="4"/>
      <c r="AA255" s="4"/>
      <c r="AB255" s="4"/>
      <c r="AC255" s="3"/>
      <c r="AD255" s="3"/>
      <c r="AE255" s="2"/>
      <c r="AF255" s="3"/>
      <c r="AG255" s="3"/>
      <c r="AH255" s="3"/>
      <c r="AI255" s="2"/>
      <c r="AJ255" s="2"/>
      <c r="AK255" s="2"/>
      <c r="AL255" s="2"/>
      <c r="AM255" s="2"/>
      <c r="AN255" s="2"/>
      <c r="AO255" s="2"/>
      <c r="AP255" s="100"/>
      <c r="AQ255" s="2"/>
      <c r="AR255" s="2"/>
      <c r="AS255" s="3"/>
    </row>
    <row r="256">
      <c r="A256" s="7" t="s">
        <v>61</v>
      </c>
      <c r="B256" s="53">
        <v>175000.0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47">
        <v>1.0</v>
      </c>
      <c r="R256" s="7"/>
      <c r="S256" s="47">
        <v>1.0</v>
      </c>
      <c r="T256" s="7"/>
      <c r="U256" s="7"/>
      <c r="V256" s="54" t="str">
        <f t="shared" si="99"/>
        <v/>
      </c>
      <c r="W256" s="48">
        <f t="shared" si="100"/>
        <v>2</v>
      </c>
      <c r="X256" s="48">
        <f t="shared" si="101"/>
        <v>2</v>
      </c>
      <c r="Y256" s="49">
        <f t="shared" si="102"/>
        <v>350000</v>
      </c>
      <c r="Z256" s="4"/>
      <c r="AA256" s="4"/>
      <c r="AB256" s="4"/>
      <c r="AC256" s="3"/>
      <c r="AD256" s="3"/>
      <c r="AE256" s="2"/>
      <c r="AF256" s="3"/>
      <c r="AG256" s="3"/>
      <c r="AH256" s="3"/>
      <c r="AI256" s="2"/>
      <c r="AJ256" s="2"/>
      <c r="AK256" s="2"/>
      <c r="AL256" s="2"/>
      <c r="AM256" s="2"/>
      <c r="AN256" s="2"/>
      <c r="AO256" s="2"/>
      <c r="AP256" s="100"/>
      <c r="AQ256" s="2"/>
      <c r="AR256" s="2"/>
      <c r="AS256" s="3"/>
    </row>
    <row r="257">
      <c r="A257" s="7" t="s">
        <v>62</v>
      </c>
      <c r="B257" s="53">
        <v>233000.0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54" t="str">
        <f t="shared" si="99"/>
        <v/>
      </c>
      <c r="W257" s="48">
        <f t="shared" si="100"/>
        <v>0</v>
      </c>
      <c r="X257" s="48">
        <f t="shared" si="101"/>
        <v>0</v>
      </c>
      <c r="Y257" s="49">
        <f t="shared" si="102"/>
        <v>0</v>
      </c>
      <c r="Z257" s="4"/>
      <c r="AA257" s="4"/>
      <c r="AB257" s="4"/>
      <c r="AC257" s="3"/>
      <c r="AD257" s="3"/>
      <c r="AE257" s="2"/>
      <c r="AF257" s="3"/>
      <c r="AG257" s="3"/>
      <c r="AH257" s="3"/>
      <c r="AI257" s="2"/>
      <c r="AJ257" s="2"/>
      <c r="AK257" s="2"/>
      <c r="AL257" s="2"/>
      <c r="AM257" s="2"/>
      <c r="AN257" s="2"/>
      <c r="AO257" s="2"/>
      <c r="AP257" s="100"/>
      <c r="AQ257" s="2"/>
      <c r="AR257" s="2"/>
      <c r="AS257" s="3"/>
    </row>
    <row r="258">
      <c r="A258" s="7" t="s">
        <v>63</v>
      </c>
      <c r="B258" s="8"/>
      <c r="C258" s="7"/>
      <c r="D258" s="47">
        <f t="shared" ref="D258:W258" si="103">SUM(D248:D257)</f>
        <v>10</v>
      </c>
      <c r="E258" s="47">
        <f t="shared" si="103"/>
        <v>0</v>
      </c>
      <c r="F258" s="47">
        <f t="shared" si="103"/>
        <v>0</v>
      </c>
      <c r="G258" s="47">
        <f t="shared" si="103"/>
        <v>37</v>
      </c>
      <c r="H258" s="47">
        <f t="shared" si="103"/>
        <v>0</v>
      </c>
      <c r="I258" s="47">
        <f t="shared" si="103"/>
        <v>11</v>
      </c>
      <c r="J258" s="47">
        <f t="shared" si="103"/>
        <v>0</v>
      </c>
      <c r="K258" s="47">
        <f t="shared" si="103"/>
        <v>25</v>
      </c>
      <c r="L258" s="47">
        <f t="shared" si="103"/>
        <v>0</v>
      </c>
      <c r="M258" s="47">
        <f t="shared" si="103"/>
        <v>15</v>
      </c>
      <c r="N258" s="47">
        <f t="shared" si="103"/>
        <v>0</v>
      </c>
      <c r="O258" s="47">
        <f t="shared" si="103"/>
        <v>5</v>
      </c>
      <c r="P258" s="47">
        <f t="shared" si="103"/>
        <v>0</v>
      </c>
      <c r="Q258" s="47">
        <f t="shared" si="103"/>
        <v>8</v>
      </c>
      <c r="R258" s="47">
        <f t="shared" si="103"/>
        <v>0</v>
      </c>
      <c r="S258" s="47">
        <f t="shared" si="103"/>
        <v>5</v>
      </c>
      <c r="T258" s="47">
        <f t="shared" si="103"/>
        <v>0</v>
      </c>
      <c r="U258" s="47">
        <f t="shared" si="103"/>
        <v>5</v>
      </c>
      <c r="V258" s="101">
        <f t="shared" si="103"/>
        <v>10</v>
      </c>
      <c r="W258" s="101">
        <f t="shared" si="103"/>
        <v>106</v>
      </c>
      <c r="X258" s="48">
        <f t="shared" si="101"/>
        <v>116</v>
      </c>
      <c r="Y258" s="102">
        <f>SUM(Y248:Y257)</f>
        <v>42041000</v>
      </c>
      <c r="Z258" s="4"/>
      <c r="AA258" s="4"/>
      <c r="AB258" s="4"/>
      <c r="AC258" s="3"/>
      <c r="AD258" s="3"/>
      <c r="AE258" s="2"/>
      <c r="AF258" s="3"/>
      <c r="AG258" s="3"/>
      <c r="AH258" s="3"/>
      <c r="AI258" s="2"/>
      <c r="AJ258" s="2"/>
      <c r="AK258" s="2"/>
      <c r="AL258" s="2"/>
      <c r="AM258" s="2"/>
      <c r="AN258" s="2"/>
      <c r="AO258" s="2"/>
      <c r="AP258" s="100"/>
      <c r="AQ258" s="2"/>
      <c r="AR258" s="2"/>
      <c r="AS258" s="3"/>
    </row>
    <row r="259">
      <c r="A259" s="7" t="s">
        <v>64</v>
      </c>
      <c r="B259" s="8"/>
      <c r="C259" s="7"/>
      <c r="D259" s="7"/>
      <c r="E259" s="7"/>
      <c r="F259" s="7"/>
      <c r="G259" s="47">
        <f>G258-H258</f>
        <v>37</v>
      </c>
      <c r="H259" s="7"/>
      <c r="I259" s="47">
        <f>I258-J258</f>
        <v>11</v>
      </c>
      <c r="J259" s="7"/>
      <c r="K259" s="47">
        <f>K258-L258</f>
        <v>25</v>
      </c>
      <c r="L259" s="7"/>
      <c r="M259" s="47">
        <f>M258-N258</f>
        <v>15</v>
      </c>
      <c r="N259" s="7"/>
      <c r="O259" s="47">
        <f>O258-P258</f>
        <v>5</v>
      </c>
      <c r="P259" s="7"/>
      <c r="Q259" s="47">
        <f>Q258-R258</f>
        <v>8</v>
      </c>
      <c r="R259" s="7"/>
      <c r="S259" s="47">
        <f>S258-T258</f>
        <v>5</v>
      </c>
      <c r="T259" s="7"/>
      <c r="U259" s="7"/>
      <c r="V259" s="54"/>
      <c r="W259" s="54"/>
      <c r="X259" s="48">
        <f>sum(X248:X258)</f>
        <v>232</v>
      </c>
      <c r="Y259" s="55"/>
      <c r="Z259" s="4"/>
      <c r="AA259" s="4"/>
      <c r="AB259" s="4"/>
      <c r="AC259" s="3"/>
      <c r="AD259" s="3"/>
      <c r="AE259" s="2"/>
      <c r="AF259" s="3"/>
      <c r="AG259" s="3"/>
      <c r="AH259" s="3"/>
      <c r="AI259" s="2"/>
      <c r="AJ259" s="2"/>
      <c r="AK259" s="2"/>
      <c r="AL259" s="2"/>
      <c r="AM259" s="2"/>
      <c r="AN259" s="2"/>
      <c r="AO259" s="2"/>
      <c r="AP259" s="100"/>
      <c r="AQ259" s="2"/>
      <c r="AR259" s="2"/>
      <c r="AS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/>
      <c r="AA260" s="4"/>
      <c r="AB260" s="4"/>
      <c r="AC260" s="3"/>
      <c r="AD260" s="3"/>
      <c r="AE260" s="2"/>
      <c r="AF260" s="3"/>
      <c r="AG260" s="3"/>
      <c r="AH260" s="3"/>
      <c r="AI260" s="2"/>
      <c r="AJ260" s="2"/>
      <c r="AK260" s="2"/>
      <c r="AL260" s="2"/>
      <c r="AM260" s="2"/>
      <c r="AN260" s="2"/>
      <c r="AO260" s="2"/>
      <c r="AP260" s="100"/>
      <c r="AQ260" s="2"/>
      <c r="AR260" s="2"/>
      <c r="AS260" s="3"/>
    </row>
    <row r="261">
      <c r="A261" s="7"/>
      <c r="B261" s="8"/>
      <c r="C261" s="7"/>
      <c r="D261" s="9">
        <v>46009.0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  <c r="X261" s="6"/>
      <c r="Y261" s="6"/>
      <c r="Z261" s="4"/>
      <c r="AA261" s="4"/>
      <c r="AB261" s="4"/>
      <c r="AC261" s="3"/>
      <c r="AD261" s="3"/>
      <c r="AE261" s="2"/>
      <c r="AF261" s="3"/>
      <c r="AG261" s="3"/>
      <c r="AH261" s="3"/>
      <c r="AI261" s="2"/>
      <c r="AJ261" s="2"/>
      <c r="AK261" s="2"/>
      <c r="AL261" s="2"/>
      <c r="AM261" s="2"/>
      <c r="AN261" s="2"/>
      <c r="AO261" s="2"/>
      <c r="AP261" s="100"/>
      <c r="AQ261" s="2"/>
      <c r="AR261" s="2"/>
      <c r="AS261" s="3"/>
    </row>
    <row r="262">
      <c r="A262" s="70" t="s">
        <v>6</v>
      </c>
      <c r="B262" s="34" t="b">
        <v>0</v>
      </c>
      <c r="C262" s="7"/>
      <c r="D262" s="71" t="s">
        <v>7</v>
      </c>
      <c r="E262" s="11"/>
      <c r="F262" s="7"/>
      <c r="G262" s="71" t="s">
        <v>8</v>
      </c>
      <c r="H262" s="11"/>
      <c r="I262" s="71" t="s">
        <v>9</v>
      </c>
      <c r="J262" s="11"/>
      <c r="K262" s="72" t="s">
        <v>10</v>
      </c>
      <c r="L262" s="11"/>
      <c r="M262" s="71" t="s">
        <v>11</v>
      </c>
      <c r="N262" s="11"/>
      <c r="O262" s="71" t="s">
        <v>12</v>
      </c>
      <c r="P262" s="11"/>
      <c r="Q262" s="71" t="s">
        <v>13</v>
      </c>
      <c r="R262" s="11"/>
      <c r="S262" s="71" t="s">
        <v>14</v>
      </c>
      <c r="T262" s="11"/>
      <c r="U262" s="35" t="s">
        <v>15</v>
      </c>
      <c r="V262" s="73" t="s">
        <v>16</v>
      </c>
      <c r="W262" s="10"/>
      <c r="X262" s="10"/>
      <c r="Y262" s="11"/>
      <c r="Z262" s="4"/>
      <c r="AA262" s="4"/>
      <c r="AB262" s="4"/>
      <c r="AC262" s="3"/>
      <c r="AD262" s="3"/>
      <c r="AE262" s="2"/>
      <c r="AF262" s="3"/>
      <c r="AG262" s="3"/>
      <c r="AH262" s="3"/>
      <c r="AI262" s="2"/>
      <c r="AJ262" s="2"/>
      <c r="AK262" s="2"/>
      <c r="AL262" s="2"/>
      <c r="AM262" s="2"/>
      <c r="AN262" s="2"/>
      <c r="AO262" s="2"/>
      <c r="AP262" s="100"/>
      <c r="AQ262" s="2"/>
      <c r="AR262" s="2"/>
      <c r="AS262" s="3"/>
    </row>
    <row r="263">
      <c r="A263" s="7"/>
      <c r="B263" s="34" t="s">
        <v>28</v>
      </c>
      <c r="C263" s="35" t="s">
        <v>29</v>
      </c>
      <c r="D263" s="35" t="s">
        <v>30</v>
      </c>
      <c r="E263" s="35" t="s">
        <v>31</v>
      </c>
      <c r="F263" s="35" t="s">
        <v>32</v>
      </c>
      <c r="G263" s="35" t="s">
        <v>33</v>
      </c>
      <c r="H263" s="35" t="s">
        <v>31</v>
      </c>
      <c r="I263" s="35" t="s">
        <v>33</v>
      </c>
      <c r="J263" s="35" t="s">
        <v>31</v>
      </c>
      <c r="K263" s="35" t="s">
        <v>33</v>
      </c>
      <c r="L263" s="35" t="s">
        <v>31</v>
      </c>
      <c r="M263" s="35" t="s">
        <v>33</v>
      </c>
      <c r="N263" s="35" t="s">
        <v>31</v>
      </c>
      <c r="O263" s="35" t="s">
        <v>33</v>
      </c>
      <c r="P263" s="35" t="s">
        <v>31</v>
      </c>
      <c r="Q263" s="35" t="s">
        <v>33</v>
      </c>
      <c r="R263" s="35" t="s">
        <v>31</v>
      </c>
      <c r="S263" s="35" t="s">
        <v>33</v>
      </c>
      <c r="T263" s="35" t="s">
        <v>31</v>
      </c>
      <c r="U263" s="35" t="s">
        <v>34</v>
      </c>
      <c r="V263" s="36" t="s">
        <v>7</v>
      </c>
      <c r="W263" s="36" t="s">
        <v>35</v>
      </c>
      <c r="X263" s="36" t="s">
        <v>36</v>
      </c>
      <c r="Y263" s="36" t="s">
        <v>37</v>
      </c>
      <c r="Z263" s="4"/>
      <c r="AA263" s="4"/>
      <c r="AB263" s="4"/>
      <c r="AC263" s="3"/>
      <c r="AD263" s="3"/>
      <c r="AE263" s="2"/>
      <c r="AF263" s="3"/>
      <c r="AG263" s="3"/>
      <c r="AH263" s="3"/>
      <c r="AI263" s="2"/>
      <c r="AJ263" s="2"/>
      <c r="AK263" s="2"/>
      <c r="AL263" s="2"/>
      <c r="AM263" s="2"/>
      <c r="AN263" s="2"/>
      <c r="AO263" s="2"/>
      <c r="AP263" s="100"/>
      <c r="AQ263" s="2"/>
      <c r="AR263" s="2"/>
      <c r="AS263" s="3"/>
    </row>
    <row r="264">
      <c r="A264" s="7" t="s">
        <v>42</v>
      </c>
      <c r="B264" s="46">
        <v>335000.0</v>
      </c>
      <c r="C264" s="7"/>
      <c r="D264" s="47">
        <v>1.0</v>
      </c>
      <c r="E264" s="7"/>
      <c r="F264" s="7"/>
      <c r="G264" s="47">
        <v>14.0</v>
      </c>
      <c r="H264" s="7"/>
      <c r="I264" s="47">
        <v>8.0</v>
      </c>
      <c r="J264" s="7"/>
      <c r="K264" s="47">
        <v>22.0</v>
      </c>
      <c r="L264" s="7"/>
      <c r="M264" s="47">
        <v>11.0</v>
      </c>
      <c r="N264" s="7"/>
      <c r="O264" s="7"/>
      <c r="P264" s="7"/>
      <c r="Q264" s="47">
        <v>1.0</v>
      </c>
      <c r="R264" s="7"/>
      <c r="S264" s="7"/>
      <c r="T264" s="7"/>
      <c r="U264" s="7"/>
      <c r="V264" s="48">
        <f t="shared" ref="V264:V273" si="104">D264</f>
        <v>1</v>
      </c>
      <c r="W264" s="48">
        <f t="shared" ref="W264:W273" si="105">G264+I264+K264+M264+O264+Q264+S264</f>
        <v>56</v>
      </c>
      <c r="X264" s="48">
        <f t="shared" ref="X264:X274" si="106">V264+W264</f>
        <v>57</v>
      </c>
      <c r="Y264" s="49">
        <f t="shared" ref="Y264:Y273" si="107">B264*X264</f>
        <v>19095000</v>
      </c>
      <c r="Z264" s="4"/>
      <c r="AA264" s="4"/>
      <c r="AB264" s="4"/>
      <c r="AC264" s="3"/>
      <c r="AD264" s="3"/>
      <c r="AE264" s="2"/>
      <c r="AF264" s="3"/>
      <c r="AG264" s="3"/>
      <c r="AH264" s="3"/>
      <c r="AI264" s="2"/>
      <c r="AJ264" s="2"/>
      <c r="AK264" s="2"/>
      <c r="AL264" s="2"/>
      <c r="AM264" s="2"/>
      <c r="AN264" s="2"/>
      <c r="AO264" s="2"/>
      <c r="AP264" s="100"/>
      <c r="AQ264" s="2"/>
      <c r="AR264" s="2"/>
      <c r="AS264" s="3"/>
    </row>
    <row r="265">
      <c r="A265" s="7" t="s">
        <v>45</v>
      </c>
      <c r="B265" s="13">
        <v>395000.0</v>
      </c>
      <c r="C265" s="6"/>
      <c r="D265" s="7"/>
      <c r="E265" s="7"/>
      <c r="F265" s="7"/>
      <c r="G265" s="47">
        <v>17.0</v>
      </c>
      <c r="H265" s="7"/>
      <c r="I265" s="47">
        <v>3.0</v>
      </c>
      <c r="J265" s="7"/>
      <c r="K265" s="7"/>
      <c r="L265" s="7"/>
      <c r="M265" s="47">
        <v>3.0</v>
      </c>
      <c r="N265" s="7"/>
      <c r="O265" s="47">
        <v>5.0</v>
      </c>
      <c r="P265" s="47">
        <v>1.0</v>
      </c>
      <c r="Q265" s="47">
        <v>3.0</v>
      </c>
      <c r="R265" s="7"/>
      <c r="S265" s="7"/>
      <c r="T265" s="7"/>
      <c r="U265" s="7"/>
      <c r="V265" s="54" t="str">
        <f t="shared" si="104"/>
        <v/>
      </c>
      <c r="W265" s="48">
        <f t="shared" si="105"/>
        <v>31</v>
      </c>
      <c r="X265" s="48">
        <f t="shared" si="106"/>
        <v>31</v>
      </c>
      <c r="Y265" s="49">
        <f t="shared" si="107"/>
        <v>12245000</v>
      </c>
      <c r="Z265" s="4"/>
      <c r="AA265" s="4"/>
      <c r="AB265" s="4"/>
      <c r="AC265" s="3"/>
      <c r="AD265" s="3"/>
      <c r="AE265" s="2"/>
      <c r="AF265" s="3"/>
      <c r="AG265" s="3"/>
      <c r="AH265" s="3"/>
      <c r="AI265" s="2"/>
      <c r="AJ265" s="2"/>
      <c r="AK265" s="2"/>
      <c r="AL265" s="2"/>
      <c r="AM265" s="2"/>
      <c r="AN265" s="2"/>
      <c r="AO265" s="2"/>
      <c r="AP265" s="100"/>
      <c r="AQ265" s="2"/>
      <c r="AR265" s="2"/>
      <c r="AS265" s="3"/>
    </row>
    <row r="266">
      <c r="A266" s="7" t="s">
        <v>48</v>
      </c>
      <c r="B266" s="46">
        <v>450000.0</v>
      </c>
      <c r="C266" s="7"/>
      <c r="D266" s="47">
        <v>1.0</v>
      </c>
      <c r="E266" s="7"/>
      <c r="F266" s="7"/>
      <c r="G266" s="47">
        <v>1.0</v>
      </c>
      <c r="H266" s="7"/>
      <c r="I266" s="7"/>
      <c r="J266" s="7"/>
      <c r="K266" s="47">
        <v>3.0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48">
        <f t="shared" si="104"/>
        <v>1</v>
      </c>
      <c r="W266" s="48">
        <f t="shared" si="105"/>
        <v>4</v>
      </c>
      <c r="X266" s="48">
        <f t="shared" si="106"/>
        <v>5</v>
      </c>
      <c r="Y266" s="49">
        <f t="shared" si="107"/>
        <v>2250000</v>
      </c>
      <c r="Z266" s="4"/>
      <c r="AA266" s="4"/>
      <c r="AB266" s="4"/>
      <c r="AC266" s="3"/>
      <c r="AD266" s="3"/>
      <c r="AE266" s="2"/>
      <c r="AF266" s="3"/>
      <c r="AG266" s="3"/>
      <c r="AH266" s="3"/>
      <c r="AI266" s="2"/>
      <c r="AJ266" s="2"/>
      <c r="AK266" s="2"/>
      <c r="AL266" s="2"/>
      <c r="AM266" s="2"/>
      <c r="AN266" s="2"/>
      <c r="AO266" s="2"/>
      <c r="AP266" s="100"/>
      <c r="AQ266" s="2"/>
      <c r="AR266" s="2"/>
      <c r="AS266" s="3"/>
    </row>
    <row r="267">
      <c r="A267" s="7" t="s">
        <v>50</v>
      </c>
      <c r="B267" s="46">
        <v>575000.0</v>
      </c>
      <c r="C267" s="7"/>
      <c r="D267" s="47">
        <v>1.0</v>
      </c>
      <c r="E267" s="7"/>
      <c r="F267" s="7"/>
      <c r="G267" s="47">
        <v>5.0</v>
      </c>
      <c r="H267" s="7"/>
      <c r="I267" s="7"/>
      <c r="J267" s="7"/>
      <c r="K267" s="7"/>
      <c r="L267" s="7"/>
      <c r="M267" s="47">
        <v>1.0</v>
      </c>
      <c r="N267" s="7"/>
      <c r="O267" s="7"/>
      <c r="P267" s="7"/>
      <c r="Q267" s="7"/>
      <c r="R267" s="7"/>
      <c r="S267" s="7"/>
      <c r="T267" s="7"/>
      <c r="U267" s="7"/>
      <c r="V267" s="48">
        <f t="shared" si="104"/>
        <v>1</v>
      </c>
      <c r="W267" s="48">
        <f t="shared" si="105"/>
        <v>6</v>
      </c>
      <c r="X267" s="48">
        <f t="shared" si="106"/>
        <v>7</v>
      </c>
      <c r="Y267" s="49">
        <f t="shared" si="107"/>
        <v>4025000</v>
      </c>
      <c r="Z267" s="4"/>
      <c r="AA267" s="4"/>
      <c r="AB267" s="4"/>
      <c r="AC267" s="3"/>
      <c r="AD267" s="3"/>
      <c r="AE267" s="2"/>
      <c r="AF267" s="3"/>
      <c r="AG267" s="3"/>
      <c r="AH267" s="3"/>
      <c r="AI267" s="2"/>
      <c r="AJ267" s="2"/>
      <c r="AK267" s="2"/>
      <c r="AL267" s="2"/>
      <c r="AM267" s="2"/>
      <c r="AN267" s="2"/>
      <c r="AO267" s="2"/>
      <c r="AP267" s="100"/>
      <c r="AQ267" s="2"/>
      <c r="AR267" s="2"/>
      <c r="AS267" s="3"/>
    </row>
    <row r="268">
      <c r="A268" s="7" t="s">
        <v>53</v>
      </c>
      <c r="B268" s="53">
        <v>262000.0</v>
      </c>
      <c r="C268" s="7"/>
      <c r="D268" s="47">
        <v>1.0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47">
        <v>1.0</v>
      </c>
      <c r="R268" s="7"/>
      <c r="S268" s="47">
        <v>1.0</v>
      </c>
      <c r="T268" s="7"/>
      <c r="U268" s="7"/>
      <c r="V268" s="48">
        <f t="shared" si="104"/>
        <v>1</v>
      </c>
      <c r="W268" s="48">
        <f t="shared" si="105"/>
        <v>2</v>
      </c>
      <c r="X268" s="48">
        <f t="shared" si="106"/>
        <v>3</v>
      </c>
      <c r="Y268" s="49">
        <f t="shared" si="107"/>
        <v>786000</v>
      </c>
      <c r="Z268" s="4"/>
      <c r="AA268" s="4"/>
      <c r="AB268" s="4"/>
      <c r="AC268" s="3"/>
      <c r="AD268" s="3"/>
      <c r="AE268" s="2"/>
      <c r="AF268" s="3"/>
      <c r="AG268" s="3"/>
      <c r="AH268" s="3"/>
      <c r="AI268" s="2"/>
      <c r="AJ268" s="2"/>
      <c r="AK268" s="2"/>
      <c r="AL268" s="2"/>
      <c r="AM268" s="2"/>
      <c r="AN268" s="2"/>
      <c r="AO268" s="2"/>
      <c r="AP268" s="100"/>
      <c r="AQ268" s="2"/>
      <c r="AR268" s="2"/>
      <c r="AS268" s="3"/>
    </row>
    <row r="269">
      <c r="A269" s="7" t="s">
        <v>55</v>
      </c>
      <c r="B269" s="53">
        <v>185000.0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47">
        <v>1.0</v>
      </c>
      <c r="T269" s="7"/>
      <c r="U269" s="7"/>
      <c r="V269" s="54" t="str">
        <f t="shared" si="104"/>
        <v/>
      </c>
      <c r="W269" s="48">
        <f t="shared" si="105"/>
        <v>1</v>
      </c>
      <c r="X269" s="48">
        <f t="shared" si="106"/>
        <v>1</v>
      </c>
      <c r="Y269" s="49">
        <f t="shared" si="107"/>
        <v>185000</v>
      </c>
      <c r="Z269" s="4"/>
      <c r="AA269" s="4"/>
      <c r="AB269" s="4"/>
      <c r="AC269" s="3"/>
      <c r="AD269" s="3"/>
      <c r="AE269" s="2"/>
      <c r="AF269" s="3"/>
      <c r="AG269" s="3"/>
      <c r="AH269" s="3"/>
      <c r="AI269" s="2"/>
      <c r="AJ269" s="2"/>
      <c r="AK269" s="2"/>
      <c r="AL269" s="2"/>
      <c r="AM269" s="2"/>
      <c r="AN269" s="2"/>
      <c r="AO269" s="2"/>
      <c r="AP269" s="100"/>
      <c r="AQ269" s="2"/>
      <c r="AR269" s="2"/>
      <c r="AS269" s="3"/>
    </row>
    <row r="270">
      <c r="A270" s="7" t="s">
        <v>57</v>
      </c>
      <c r="B270" s="53">
        <v>242000.0</v>
      </c>
      <c r="C270" s="7"/>
      <c r="D270" s="47">
        <v>1.0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47">
        <v>1.0</v>
      </c>
      <c r="R270" s="7"/>
      <c r="S270" s="47">
        <v>1.0</v>
      </c>
      <c r="T270" s="7"/>
      <c r="U270" s="7"/>
      <c r="V270" s="48">
        <f t="shared" si="104"/>
        <v>1</v>
      </c>
      <c r="W270" s="48">
        <f t="shared" si="105"/>
        <v>2</v>
      </c>
      <c r="X270" s="48">
        <f t="shared" si="106"/>
        <v>3</v>
      </c>
      <c r="Y270" s="49">
        <f t="shared" si="107"/>
        <v>726000</v>
      </c>
      <c r="Z270" s="4"/>
      <c r="AA270" s="4"/>
      <c r="AB270" s="4"/>
      <c r="AC270" s="3"/>
      <c r="AD270" s="3"/>
      <c r="AE270" s="2"/>
      <c r="AF270" s="3"/>
      <c r="AG270" s="3"/>
      <c r="AH270" s="3"/>
      <c r="AI270" s="2"/>
      <c r="AJ270" s="2"/>
      <c r="AK270" s="2"/>
      <c r="AL270" s="2"/>
      <c r="AM270" s="2"/>
      <c r="AN270" s="2"/>
      <c r="AO270" s="2"/>
      <c r="AP270" s="100"/>
      <c r="AQ270" s="2"/>
      <c r="AR270" s="2"/>
      <c r="AS270" s="3"/>
    </row>
    <row r="271">
      <c r="A271" s="7" t="s">
        <v>60</v>
      </c>
      <c r="B271" s="53">
        <v>202000.0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47">
        <v>1.0</v>
      </c>
      <c r="R271" s="7"/>
      <c r="S271" s="47">
        <v>1.0</v>
      </c>
      <c r="T271" s="7"/>
      <c r="U271" s="7"/>
      <c r="V271" s="54" t="str">
        <f t="shared" si="104"/>
        <v/>
      </c>
      <c r="W271" s="48">
        <f t="shared" si="105"/>
        <v>2</v>
      </c>
      <c r="X271" s="48">
        <f t="shared" si="106"/>
        <v>2</v>
      </c>
      <c r="Y271" s="49">
        <f t="shared" si="107"/>
        <v>404000</v>
      </c>
      <c r="Z271" s="4"/>
      <c r="AA271" s="4"/>
      <c r="AB271" s="4"/>
      <c r="AC271" s="3"/>
      <c r="AD271" s="3"/>
      <c r="AE271" s="2"/>
      <c r="AF271" s="3"/>
      <c r="AG271" s="3"/>
      <c r="AH271" s="3"/>
      <c r="AI271" s="2"/>
      <c r="AJ271" s="2"/>
      <c r="AK271" s="2"/>
      <c r="AL271" s="2"/>
      <c r="AM271" s="2"/>
      <c r="AN271" s="2"/>
      <c r="AO271" s="2"/>
      <c r="AP271" s="100"/>
      <c r="AQ271" s="2"/>
      <c r="AR271" s="2"/>
      <c r="AS271" s="3"/>
    </row>
    <row r="272">
      <c r="A272" s="7" t="s">
        <v>61</v>
      </c>
      <c r="B272" s="53">
        <v>175000.0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47">
        <v>1.0</v>
      </c>
      <c r="R272" s="7"/>
      <c r="S272" s="47">
        <v>1.0</v>
      </c>
      <c r="T272" s="7"/>
      <c r="U272" s="7"/>
      <c r="V272" s="54" t="str">
        <f t="shared" si="104"/>
        <v/>
      </c>
      <c r="W272" s="48">
        <f t="shared" si="105"/>
        <v>2</v>
      </c>
      <c r="X272" s="48">
        <f t="shared" si="106"/>
        <v>2</v>
      </c>
      <c r="Y272" s="49">
        <f t="shared" si="107"/>
        <v>350000</v>
      </c>
      <c r="Z272" s="4"/>
      <c r="AA272" s="4"/>
      <c r="AB272" s="4"/>
      <c r="AC272" s="3"/>
      <c r="AD272" s="3"/>
      <c r="AE272" s="2"/>
      <c r="AF272" s="3"/>
      <c r="AG272" s="3"/>
      <c r="AH272" s="3"/>
      <c r="AI272" s="2"/>
      <c r="AJ272" s="2"/>
      <c r="AK272" s="2"/>
      <c r="AL272" s="2"/>
      <c r="AM272" s="2"/>
      <c r="AN272" s="2"/>
      <c r="AO272" s="2"/>
      <c r="AP272" s="100"/>
      <c r="AQ272" s="2"/>
      <c r="AR272" s="2"/>
      <c r="AS272" s="3"/>
    </row>
    <row r="273">
      <c r="A273" s="7" t="s">
        <v>62</v>
      </c>
      <c r="B273" s="53">
        <v>233000.0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54" t="str">
        <f t="shared" si="104"/>
        <v/>
      </c>
      <c r="W273" s="48">
        <f t="shared" si="105"/>
        <v>0</v>
      </c>
      <c r="X273" s="48">
        <f t="shared" si="106"/>
        <v>0</v>
      </c>
      <c r="Y273" s="49">
        <f t="shared" si="107"/>
        <v>0</v>
      </c>
      <c r="Z273" s="4"/>
      <c r="AA273" s="4"/>
      <c r="AB273" s="4"/>
      <c r="AC273" s="3"/>
      <c r="AD273" s="3"/>
      <c r="AE273" s="2"/>
      <c r="AF273" s="3"/>
      <c r="AG273" s="3"/>
      <c r="AH273" s="3"/>
      <c r="AI273" s="2"/>
      <c r="AJ273" s="2"/>
      <c r="AK273" s="2"/>
      <c r="AL273" s="2"/>
      <c r="AM273" s="2"/>
      <c r="AN273" s="2"/>
      <c r="AO273" s="2"/>
      <c r="AP273" s="100"/>
      <c r="AQ273" s="2"/>
      <c r="AR273" s="2"/>
      <c r="AS273" s="3"/>
    </row>
    <row r="274">
      <c r="A274" s="7" t="s">
        <v>63</v>
      </c>
      <c r="B274" s="8"/>
      <c r="C274" s="7"/>
      <c r="D274" s="47">
        <f t="shared" ref="D274:W274" si="108">SUM(D264:D273)</f>
        <v>5</v>
      </c>
      <c r="E274" s="47">
        <f t="shared" si="108"/>
        <v>0</v>
      </c>
      <c r="F274" s="47">
        <f t="shared" si="108"/>
        <v>0</v>
      </c>
      <c r="G274" s="47">
        <f t="shared" si="108"/>
        <v>37</v>
      </c>
      <c r="H274" s="47">
        <f t="shared" si="108"/>
        <v>0</v>
      </c>
      <c r="I274" s="47">
        <f t="shared" si="108"/>
        <v>11</v>
      </c>
      <c r="J274" s="47">
        <f t="shared" si="108"/>
        <v>0</v>
      </c>
      <c r="K274" s="47">
        <f t="shared" si="108"/>
        <v>25</v>
      </c>
      <c r="L274" s="47">
        <f t="shared" si="108"/>
        <v>0</v>
      </c>
      <c r="M274" s="47">
        <f t="shared" si="108"/>
        <v>15</v>
      </c>
      <c r="N274" s="47">
        <f t="shared" si="108"/>
        <v>0</v>
      </c>
      <c r="O274" s="47">
        <f t="shared" si="108"/>
        <v>5</v>
      </c>
      <c r="P274" s="47">
        <f t="shared" si="108"/>
        <v>1</v>
      </c>
      <c r="Q274" s="47">
        <f t="shared" si="108"/>
        <v>8</v>
      </c>
      <c r="R274" s="47">
        <f t="shared" si="108"/>
        <v>0</v>
      </c>
      <c r="S274" s="47">
        <f t="shared" si="108"/>
        <v>5</v>
      </c>
      <c r="T274" s="47">
        <f t="shared" si="108"/>
        <v>0</v>
      </c>
      <c r="U274" s="47">
        <f t="shared" si="108"/>
        <v>0</v>
      </c>
      <c r="V274" s="101">
        <f t="shared" si="108"/>
        <v>5</v>
      </c>
      <c r="W274" s="101">
        <f t="shared" si="108"/>
        <v>106</v>
      </c>
      <c r="X274" s="48">
        <f t="shared" si="106"/>
        <v>111</v>
      </c>
      <c r="Y274" s="102">
        <f>SUM(Y264:Y273)</f>
        <v>40066000</v>
      </c>
      <c r="Z274" s="4"/>
      <c r="AA274" s="4"/>
      <c r="AB274" s="4"/>
      <c r="AC274" s="3"/>
      <c r="AD274" s="3"/>
      <c r="AE274" s="2"/>
      <c r="AF274" s="3"/>
      <c r="AG274" s="3"/>
      <c r="AH274" s="3"/>
      <c r="AI274" s="2"/>
      <c r="AJ274" s="2"/>
      <c r="AK274" s="2"/>
      <c r="AL274" s="2"/>
      <c r="AM274" s="2"/>
      <c r="AN274" s="2"/>
      <c r="AO274" s="2"/>
      <c r="AP274" s="100"/>
      <c r="AQ274" s="2"/>
      <c r="AR274" s="2"/>
      <c r="AS274" s="3"/>
    </row>
    <row r="275">
      <c r="A275" s="7" t="s">
        <v>64</v>
      </c>
      <c r="B275" s="8"/>
      <c r="C275" s="7"/>
      <c r="D275" s="7"/>
      <c r="E275" s="7"/>
      <c r="F275" s="7"/>
      <c r="G275" s="47">
        <f>G274-H274</f>
        <v>37</v>
      </c>
      <c r="H275" s="7"/>
      <c r="I275" s="47">
        <f>I274-J274</f>
        <v>11</v>
      </c>
      <c r="J275" s="7"/>
      <c r="K275" s="47">
        <f>K274-L274</f>
        <v>25</v>
      </c>
      <c r="L275" s="7"/>
      <c r="M275" s="47">
        <f>M274-N274</f>
        <v>15</v>
      </c>
      <c r="N275" s="7"/>
      <c r="O275" s="47">
        <f>O274-P274</f>
        <v>4</v>
      </c>
      <c r="P275" s="7"/>
      <c r="Q275" s="47">
        <f>Q274-R274</f>
        <v>8</v>
      </c>
      <c r="R275" s="7"/>
      <c r="S275" s="47">
        <f>S274-T274</f>
        <v>5</v>
      </c>
      <c r="T275" s="7"/>
      <c r="U275" s="7"/>
      <c r="V275" s="54"/>
      <c r="W275" s="54"/>
      <c r="X275" s="48">
        <f>sum(X264:X274)</f>
        <v>222</v>
      </c>
      <c r="Y275" s="55"/>
      <c r="Z275" s="4"/>
      <c r="AA275" s="4"/>
      <c r="AB275" s="4"/>
      <c r="AC275" s="3"/>
      <c r="AD275" s="3"/>
      <c r="AE275" s="2"/>
      <c r="AF275" s="3"/>
      <c r="AG275" s="3"/>
      <c r="AH275" s="3"/>
      <c r="AI275" s="2"/>
      <c r="AJ275" s="2"/>
      <c r="AK275" s="2"/>
      <c r="AL275" s="2"/>
      <c r="AM275" s="2"/>
      <c r="AN275" s="2"/>
      <c r="AO275" s="2"/>
      <c r="AP275" s="100"/>
      <c r="AQ275" s="2"/>
      <c r="AR275" s="2"/>
      <c r="AS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/>
      <c r="AA276" s="4"/>
      <c r="AB276" s="4"/>
      <c r="AC276" s="3"/>
      <c r="AD276" s="3"/>
      <c r="AE276" s="2"/>
      <c r="AF276" s="3"/>
      <c r="AG276" s="3"/>
      <c r="AH276" s="3"/>
      <c r="AI276" s="2"/>
      <c r="AJ276" s="2"/>
      <c r="AK276" s="2"/>
      <c r="AL276" s="2"/>
      <c r="AM276" s="2"/>
      <c r="AN276" s="2"/>
      <c r="AO276" s="2"/>
      <c r="AP276" s="100"/>
      <c r="AQ276" s="2"/>
      <c r="AR276" s="2"/>
      <c r="AS276" s="3"/>
    </row>
    <row r="277">
      <c r="A277" s="7"/>
      <c r="B277" s="8"/>
      <c r="C277" s="7"/>
      <c r="D277" s="9">
        <v>46010.0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  <c r="X277" s="6"/>
      <c r="Y277" s="6"/>
      <c r="Z277" s="4"/>
      <c r="AA277" s="4"/>
      <c r="AB277" s="4"/>
      <c r="AC277" s="3" t="s">
        <v>65</v>
      </c>
      <c r="AD277" s="3"/>
      <c r="AE277" s="2"/>
      <c r="AF277" s="3"/>
      <c r="AG277" s="3"/>
      <c r="AH277" s="3"/>
      <c r="AI277" s="2"/>
      <c r="AJ277" s="2"/>
      <c r="AK277" s="2"/>
      <c r="AL277" s="2"/>
      <c r="AM277" s="2"/>
      <c r="AN277" s="2"/>
      <c r="AO277" s="2"/>
      <c r="AP277" s="100"/>
      <c r="AQ277" s="2"/>
      <c r="AR277" s="2"/>
      <c r="AS277" s="3"/>
    </row>
    <row r="278">
      <c r="A278" s="70" t="s">
        <v>6</v>
      </c>
      <c r="B278" s="34" t="b">
        <v>0</v>
      </c>
      <c r="C278" s="7"/>
      <c r="D278" s="71" t="s">
        <v>7</v>
      </c>
      <c r="E278" s="11"/>
      <c r="F278" s="7"/>
      <c r="G278" s="71" t="s">
        <v>8</v>
      </c>
      <c r="H278" s="11"/>
      <c r="I278" s="71" t="s">
        <v>9</v>
      </c>
      <c r="J278" s="11"/>
      <c r="K278" s="72" t="s">
        <v>10</v>
      </c>
      <c r="L278" s="11"/>
      <c r="M278" s="71" t="s">
        <v>11</v>
      </c>
      <c r="N278" s="11"/>
      <c r="O278" s="71" t="s">
        <v>12</v>
      </c>
      <c r="P278" s="11"/>
      <c r="Q278" s="71" t="s">
        <v>13</v>
      </c>
      <c r="R278" s="11"/>
      <c r="S278" s="71" t="s">
        <v>14</v>
      </c>
      <c r="T278" s="11"/>
      <c r="U278" s="35" t="s">
        <v>15</v>
      </c>
      <c r="V278" s="73" t="s">
        <v>16</v>
      </c>
      <c r="W278" s="10"/>
      <c r="X278" s="10"/>
      <c r="Y278" s="11"/>
      <c r="Z278" s="4"/>
      <c r="AA278" s="4"/>
      <c r="AB278" s="4"/>
      <c r="AC278" s="3"/>
      <c r="AD278" s="3"/>
      <c r="AE278" s="2"/>
      <c r="AF278" s="3"/>
      <c r="AG278" s="3"/>
      <c r="AH278" s="3"/>
      <c r="AI278" s="2"/>
      <c r="AJ278" s="2"/>
      <c r="AK278" s="2"/>
      <c r="AL278" s="2"/>
      <c r="AM278" s="2"/>
      <c r="AN278" s="2"/>
      <c r="AO278" s="2"/>
      <c r="AP278" s="100"/>
      <c r="AQ278" s="2"/>
      <c r="AR278" s="2"/>
      <c r="AS278" s="3"/>
    </row>
    <row r="279">
      <c r="A279" s="7"/>
      <c r="B279" s="34" t="s">
        <v>28</v>
      </c>
      <c r="C279" s="35" t="s">
        <v>29</v>
      </c>
      <c r="D279" s="35" t="s">
        <v>30</v>
      </c>
      <c r="E279" s="35" t="s">
        <v>31</v>
      </c>
      <c r="F279" s="35" t="s">
        <v>32</v>
      </c>
      <c r="G279" s="35" t="s">
        <v>33</v>
      </c>
      <c r="H279" s="35" t="s">
        <v>31</v>
      </c>
      <c r="I279" s="35" t="s">
        <v>33</v>
      </c>
      <c r="J279" s="35" t="s">
        <v>31</v>
      </c>
      <c r="K279" s="35" t="s">
        <v>33</v>
      </c>
      <c r="L279" s="35" t="s">
        <v>31</v>
      </c>
      <c r="M279" s="35" t="s">
        <v>33</v>
      </c>
      <c r="N279" s="35" t="s">
        <v>31</v>
      </c>
      <c r="O279" s="35" t="s">
        <v>33</v>
      </c>
      <c r="P279" s="35" t="s">
        <v>31</v>
      </c>
      <c r="Q279" s="35" t="s">
        <v>33</v>
      </c>
      <c r="R279" s="35" t="s">
        <v>31</v>
      </c>
      <c r="S279" s="35" t="s">
        <v>33</v>
      </c>
      <c r="T279" s="35" t="s">
        <v>31</v>
      </c>
      <c r="U279" s="35" t="s">
        <v>34</v>
      </c>
      <c r="V279" s="36" t="s">
        <v>7</v>
      </c>
      <c r="W279" s="36" t="s">
        <v>35</v>
      </c>
      <c r="X279" s="36" t="s">
        <v>36</v>
      </c>
      <c r="Y279" s="36" t="s">
        <v>37</v>
      </c>
      <c r="Z279" s="4"/>
      <c r="AA279" s="4"/>
      <c r="AB279" s="4"/>
      <c r="AC279" s="3"/>
      <c r="AD279" s="3"/>
      <c r="AE279" s="2"/>
      <c r="AF279" s="3"/>
      <c r="AG279" s="3"/>
      <c r="AH279" s="3"/>
      <c r="AI279" s="2"/>
      <c r="AJ279" s="2"/>
      <c r="AK279" s="2"/>
      <c r="AL279" s="2"/>
      <c r="AM279" s="2"/>
      <c r="AN279" s="2"/>
      <c r="AO279" s="2"/>
      <c r="AP279" s="100"/>
      <c r="AQ279" s="2"/>
      <c r="AR279" s="2"/>
      <c r="AS279" s="3"/>
    </row>
    <row r="280">
      <c r="A280" s="7" t="s">
        <v>42</v>
      </c>
      <c r="B280" s="46">
        <v>335000.0</v>
      </c>
      <c r="C280" s="7"/>
      <c r="D280" s="47">
        <v>1.0</v>
      </c>
      <c r="E280" s="7"/>
      <c r="F280" s="7"/>
      <c r="G280" s="47">
        <v>14.0</v>
      </c>
      <c r="H280" s="7"/>
      <c r="I280" s="47">
        <v>8.0</v>
      </c>
      <c r="J280" s="7"/>
      <c r="K280" s="47">
        <v>22.0</v>
      </c>
      <c r="L280" s="7"/>
      <c r="M280" s="47">
        <v>11.0</v>
      </c>
      <c r="N280" s="7"/>
      <c r="O280" s="7"/>
      <c r="P280" s="7"/>
      <c r="Q280" s="47">
        <v>1.0</v>
      </c>
      <c r="R280" s="7"/>
      <c r="S280" s="7"/>
      <c r="T280" s="7"/>
      <c r="U280" s="7"/>
      <c r="V280" s="48">
        <f t="shared" ref="V280:V289" si="109">D280</f>
        <v>1</v>
      </c>
      <c r="W280" s="48">
        <f t="shared" ref="W280:W289" si="110">G280+I280+K280+M280+O280+Q280+S280</f>
        <v>56</v>
      </c>
      <c r="X280" s="48">
        <f t="shared" ref="X280:X290" si="111">V280+W280</f>
        <v>57</v>
      </c>
      <c r="Y280" s="49">
        <f t="shared" ref="Y280:Y289" si="112">B280*X280</f>
        <v>19095000</v>
      </c>
      <c r="Z280" s="4"/>
      <c r="AA280" s="4"/>
      <c r="AB280" s="4"/>
      <c r="AC280" s="3"/>
      <c r="AD280" s="3"/>
      <c r="AE280" s="2"/>
      <c r="AF280" s="3"/>
      <c r="AG280" s="3"/>
      <c r="AH280" s="3"/>
      <c r="AI280" s="2"/>
      <c r="AJ280" s="2"/>
      <c r="AK280" s="2"/>
      <c r="AL280" s="2"/>
      <c r="AM280" s="2"/>
      <c r="AN280" s="2"/>
      <c r="AO280" s="2"/>
      <c r="AP280" s="100"/>
      <c r="AQ280" s="2"/>
      <c r="AR280" s="2"/>
      <c r="AS280" s="3"/>
    </row>
    <row r="281">
      <c r="A281" s="7" t="s">
        <v>45</v>
      </c>
      <c r="B281" s="13">
        <v>395000.0</v>
      </c>
      <c r="C281" s="6"/>
      <c r="D281" s="7"/>
      <c r="E281" s="7"/>
      <c r="F281" s="7"/>
      <c r="G281" s="47">
        <v>17.0</v>
      </c>
      <c r="H281" s="7"/>
      <c r="I281" s="47">
        <v>3.0</v>
      </c>
      <c r="J281" s="7"/>
      <c r="K281" s="7"/>
      <c r="L281" s="7"/>
      <c r="M281" s="47">
        <v>3.0</v>
      </c>
      <c r="N281" s="7"/>
      <c r="O281" s="47">
        <v>4.0</v>
      </c>
      <c r="P281" s="47">
        <v>1.0</v>
      </c>
      <c r="Q281" s="47">
        <v>3.0</v>
      </c>
      <c r="R281" s="7"/>
      <c r="S281" s="7"/>
      <c r="T281" s="7"/>
      <c r="U281" s="7"/>
      <c r="V281" s="54" t="str">
        <f t="shared" si="109"/>
        <v/>
      </c>
      <c r="W281" s="48">
        <f t="shared" si="110"/>
        <v>30</v>
      </c>
      <c r="X281" s="48">
        <f t="shared" si="111"/>
        <v>30</v>
      </c>
      <c r="Y281" s="49">
        <f t="shared" si="112"/>
        <v>11850000</v>
      </c>
      <c r="Z281" s="4"/>
      <c r="AA281" s="4"/>
      <c r="AB281" s="4"/>
      <c r="AC281" s="3"/>
      <c r="AD281" s="3"/>
      <c r="AE281" s="2"/>
      <c r="AF281" s="3"/>
      <c r="AG281" s="3"/>
      <c r="AH281" s="3"/>
      <c r="AI281" s="2"/>
      <c r="AJ281" s="2"/>
      <c r="AK281" s="2"/>
      <c r="AL281" s="2"/>
      <c r="AM281" s="2"/>
      <c r="AN281" s="2"/>
      <c r="AO281" s="2"/>
      <c r="AP281" s="100"/>
      <c r="AQ281" s="2"/>
      <c r="AR281" s="2"/>
      <c r="AS281" s="3"/>
    </row>
    <row r="282">
      <c r="A282" s="7" t="s">
        <v>48</v>
      </c>
      <c r="B282" s="46">
        <v>450000.0</v>
      </c>
      <c r="C282" s="7"/>
      <c r="D282" s="47">
        <v>1.0</v>
      </c>
      <c r="E282" s="7"/>
      <c r="F282" s="7"/>
      <c r="G282" s="47">
        <v>1.0</v>
      </c>
      <c r="H282" s="7"/>
      <c r="I282" s="7"/>
      <c r="J282" s="7"/>
      <c r="K282" s="47">
        <v>3.0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48">
        <f t="shared" si="109"/>
        <v>1</v>
      </c>
      <c r="W282" s="48">
        <f t="shared" si="110"/>
        <v>4</v>
      </c>
      <c r="X282" s="48">
        <f t="shared" si="111"/>
        <v>5</v>
      </c>
      <c r="Y282" s="49">
        <f t="shared" si="112"/>
        <v>2250000</v>
      </c>
      <c r="Z282" s="4"/>
      <c r="AA282" s="4"/>
      <c r="AB282" s="4"/>
      <c r="AC282" s="3"/>
      <c r="AD282" s="3"/>
      <c r="AE282" s="2"/>
      <c r="AF282" s="3"/>
      <c r="AG282" s="3"/>
      <c r="AH282" s="3"/>
      <c r="AI282" s="2"/>
      <c r="AJ282" s="2"/>
      <c r="AK282" s="2"/>
      <c r="AL282" s="2"/>
      <c r="AM282" s="2"/>
      <c r="AN282" s="2"/>
      <c r="AO282" s="2"/>
      <c r="AP282" s="100"/>
      <c r="AQ282" s="2"/>
      <c r="AR282" s="2"/>
      <c r="AS282" s="3"/>
    </row>
    <row r="283">
      <c r="A283" s="7" t="s">
        <v>50</v>
      </c>
      <c r="B283" s="46">
        <v>575000.0</v>
      </c>
      <c r="C283" s="7"/>
      <c r="D283" s="47">
        <v>1.0</v>
      </c>
      <c r="E283" s="7"/>
      <c r="F283" s="7"/>
      <c r="G283" s="47">
        <v>5.0</v>
      </c>
      <c r="H283" s="7"/>
      <c r="I283" s="7"/>
      <c r="J283" s="7"/>
      <c r="K283" s="7"/>
      <c r="L283" s="7"/>
      <c r="M283" s="47">
        <v>1.0</v>
      </c>
      <c r="N283" s="7"/>
      <c r="O283" s="7"/>
      <c r="P283" s="7"/>
      <c r="Q283" s="7"/>
      <c r="R283" s="7"/>
      <c r="S283" s="7"/>
      <c r="T283" s="7"/>
      <c r="U283" s="7"/>
      <c r="V283" s="48">
        <f t="shared" si="109"/>
        <v>1</v>
      </c>
      <c r="W283" s="48">
        <f t="shared" si="110"/>
        <v>6</v>
      </c>
      <c r="X283" s="48">
        <f t="shared" si="111"/>
        <v>7</v>
      </c>
      <c r="Y283" s="49">
        <f t="shared" si="112"/>
        <v>4025000</v>
      </c>
      <c r="Z283" s="4"/>
      <c r="AA283" s="4"/>
      <c r="AB283" s="4"/>
      <c r="AC283" s="3"/>
      <c r="AD283" s="3"/>
      <c r="AE283" s="2"/>
      <c r="AF283" s="3"/>
      <c r="AG283" s="3"/>
      <c r="AH283" s="3"/>
      <c r="AI283" s="2"/>
      <c r="AJ283" s="2"/>
      <c r="AK283" s="2"/>
      <c r="AL283" s="2"/>
      <c r="AM283" s="2"/>
      <c r="AN283" s="2"/>
      <c r="AO283" s="2"/>
      <c r="AP283" s="100"/>
      <c r="AQ283" s="2"/>
      <c r="AR283" s="2"/>
      <c r="AS283" s="3"/>
    </row>
    <row r="284">
      <c r="A284" s="7" t="s">
        <v>53</v>
      </c>
      <c r="B284" s="53">
        <v>262000.0</v>
      </c>
      <c r="C284" s="7"/>
      <c r="D284" s="47">
        <v>1.0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47">
        <v>1.0</v>
      </c>
      <c r="R284" s="7"/>
      <c r="S284" s="47">
        <v>1.0</v>
      </c>
      <c r="T284" s="7"/>
      <c r="U284" s="7"/>
      <c r="V284" s="48">
        <f t="shared" si="109"/>
        <v>1</v>
      </c>
      <c r="W284" s="48">
        <f t="shared" si="110"/>
        <v>2</v>
      </c>
      <c r="X284" s="48">
        <f t="shared" si="111"/>
        <v>3</v>
      </c>
      <c r="Y284" s="49">
        <f t="shared" si="112"/>
        <v>786000</v>
      </c>
      <c r="Z284" s="4"/>
      <c r="AA284" s="4"/>
      <c r="AB284" s="4"/>
      <c r="AC284" s="3"/>
      <c r="AD284" s="3"/>
      <c r="AE284" s="2"/>
      <c r="AF284" s="3"/>
      <c r="AG284" s="3"/>
      <c r="AH284" s="3"/>
      <c r="AI284" s="2"/>
      <c r="AJ284" s="2"/>
      <c r="AK284" s="2"/>
      <c r="AL284" s="2"/>
      <c r="AM284" s="2"/>
      <c r="AN284" s="2"/>
      <c r="AO284" s="2"/>
      <c r="AP284" s="100"/>
      <c r="AQ284" s="2"/>
      <c r="AR284" s="2"/>
      <c r="AS284" s="3"/>
    </row>
    <row r="285">
      <c r="A285" s="7" t="s">
        <v>55</v>
      </c>
      <c r="B285" s="53">
        <v>185000.0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47">
        <v>1.0</v>
      </c>
      <c r="T285" s="7"/>
      <c r="U285" s="7"/>
      <c r="V285" s="54" t="str">
        <f t="shared" si="109"/>
        <v/>
      </c>
      <c r="W285" s="48">
        <f t="shared" si="110"/>
        <v>1</v>
      </c>
      <c r="X285" s="48">
        <f t="shared" si="111"/>
        <v>1</v>
      </c>
      <c r="Y285" s="49">
        <f t="shared" si="112"/>
        <v>185000</v>
      </c>
      <c r="Z285" s="4"/>
      <c r="AA285" s="4"/>
      <c r="AB285" s="4"/>
      <c r="AC285" s="3"/>
      <c r="AD285" s="3"/>
      <c r="AE285" s="2"/>
      <c r="AF285" s="3"/>
      <c r="AG285" s="3"/>
      <c r="AH285" s="3"/>
      <c r="AI285" s="2"/>
      <c r="AJ285" s="2"/>
      <c r="AK285" s="2"/>
      <c r="AL285" s="2"/>
      <c r="AM285" s="2"/>
      <c r="AN285" s="2"/>
      <c r="AO285" s="2"/>
      <c r="AP285" s="100"/>
      <c r="AQ285" s="2"/>
      <c r="AR285" s="2"/>
      <c r="AS285" s="3"/>
    </row>
    <row r="286">
      <c r="A286" s="7" t="s">
        <v>57</v>
      </c>
      <c r="B286" s="53">
        <v>242000.0</v>
      </c>
      <c r="C286" s="7"/>
      <c r="D286" s="47">
        <v>1.0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47">
        <v>1.0</v>
      </c>
      <c r="R286" s="7"/>
      <c r="S286" s="47">
        <v>1.0</v>
      </c>
      <c r="T286" s="7"/>
      <c r="U286" s="7"/>
      <c r="V286" s="48">
        <f t="shared" si="109"/>
        <v>1</v>
      </c>
      <c r="W286" s="48">
        <f t="shared" si="110"/>
        <v>2</v>
      </c>
      <c r="X286" s="48">
        <f t="shared" si="111"/>
        <v>3</v>
      </c>
      <c r="Y286" s="49">
        <f t="shared" si="112"/>
        <v>726000</v>
      </c>
      <c r="Z286" s="4"/>
      <c r="AA286" s="4"/>
      <c r="AB286" s="4"/>
      <c r="AC286" s="3"/>
      <c r="AD286" s="3"/>
      <c r="AE286" s="2"/>
      <c r="AF286" s="3"/>
      <c r="AG286" s="3"/>
      <c r="AH286" s="3"/>
      <c r="AI286" s="2"/>
      <c r="AJ286" s="2"/>
      <c r="AK286" s="2"/>
      <c r="AL286" s="2"/>
      <c r="AM286" s="2"/>
      <c r="AN286" s="2"/>
      <c r="AO286" s="2"/>
      <c r="AP286" s="100"/>
      <c r="AQ286" s="2"/>
      <c r="AR286" s="2"/>
      <c r="AS286" s="3"/>
    </row>
    <row r="287">
      <c r="A287" s="7" t="s">
        <v>60</v>
      </c>
      <c r="B287" s="53">
        <v>202000.0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47">
        <v>1.0</v>
      </c>
      <c r="R287" s="7"/>
      <c r="S287" s="47">
        <v>1.0</v>
      </c>
      <c r="T287" s="7"/>
      <c r="U287" s="7"/>
      <c r="V287" s="54" t="str">
        <f t="shared" si="109"/>
        <v/>
      </c>
      <c r="W287" s="48">
        <f t="shared" si="110"/>
        <v>2</v>
      </c>
      <c r="X287" s="48">
        <f t="shared" si="111"/>
        <v>2</v>
      </c>
      <c r="Y287" s="49">
        <f t="shared" si="112"/>
        <v>404000</v>
      </c>
      <c r="Z287" s="4"/>
      <c r="AA287" s="4"/>
      <c r="AB287" s="4"/>
      <c r="AC287" s="3"/>
      <c r="AD287" s="3"/>
      <c r="AE287" s="2"/>
      <c r="AF287" s="3"/>
      <c r="AG287" s="3"/>
      <c r="AH287" s="3"/>
      <c r="AI287" s="2"/>
      <c r="AJ287" s="2"/>
      <c r="AK287" s="2"/>
      <c r="AL287" s="2"/>
      <c r="AM287" s="2"/>
      <c r="AN287" s="2"/>
      <c r="AO287" s="2"/>
      <c r="AP287" s="100"/>
      <c r="AQ287" s="2"/>
      <c r="AR287" s="2"/>
      <c r="AS287" s="3"/>
    </row>
    <row r="288">
      <c r="A288" s="7" t="s">
        <v>61</v>
      </c>
      <c r="B288" s="53">
        <v>175000.0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47">
        <v>1.0</v>
      </c>
      <c r="R288" s="7"/>
      <c r="S288" s="47">
        <v>1.0</v>
      </c>
      <c r="T288" s="7"/>
      <c r="U288" s="7"/>
      <c r="V288" s="54" t="str">
        <f t="shared" si="109"/>
        <v/>
      </c>
      <c r="W288" s="48">
        <f t="shared" si="110"/>
        <v>2</v>
      </c>
      <c r="X288" s="48">
        <f t="shared" si="111"/>
        <v>2</v>
      </c>
      <c r="Y288" s="49">
        <f t="shared" si="112"/>
        <v>350000</v>
      </c>
      <c r="Z288" s="4"/>
      <c r="AA288" s="4"/>
      <c r="AB288" s="4"/>
      <c r="AC288" s="3"/>
      <c r="AD288" s="3"/>
      <c r="AE288" s="2"/>
      <c r="AF288" s="3"/>
      <c r="AG288" s="3"/>
      <c r="AH288" s="3"/>
      <c r="AI288" s="2"/>
      <c r="AJ288" s="2"/>
      <c r="AK288" s="2"/>
      <c r="AL288" s="2"/>
      <c r="AM288" s="2"/>
      <c r="AN288" s="2"/>
      <c r="AO288" s="2"/>
      <c r="AP288" s="100"/>
      <c r="AQ288" s="2"/>
      <c r="AR288" s="2"/>
      <c r="AS288" s="3"/>
    </row>
    <row r="289">
      <c r="A289" s="7" t="s">
        <v>62</v>
      </c>
      <c r="B289" s="53">
        <v>233000.0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54" t="str">
        <f t="shared" si="109"/>
        <v/>
      </c>
      <c r="W289" s="48">
        <f t="shared" si="110"/>
        <v>0</v>
      </c>
      <c r="X289" s="48">
        <f t="shared" si="111"/>
        <v>0</v>
      </c>
      <c r="Y289" s="49">
        <f t="shared" si="112"/>
        <v>0</v>
      </c>
      <c r="Z289" s="4"/>
      <c r="AA289" s="4"/>
      <c r="AB289" s="4"/>
      <c r="AC289" s="3"/>
      <c r="AD289" s="3"/>
      <c r="AE289" s="2"/>
      <c r="AF289" s="3"/>
      <c r="AG289" s="3"/>
      <c r="AH289" s="3"/>
      <c r="AI289" s="2"/>
      <c r="AJ289" s="2"/>
      <c r="AK289" s="2"/>
      <c r="AL289" s="2"/>
      <c r="AM289" s="2"/>
      <c r="AN289" s="2"/>
      <c r="AO289" s="2"/>
      <c r="AP289" s="100"/>
      <c r="AQ289" s="2"/>
      <c r="AR289" s="2"/>
      <c r="AS289" s="3"/>
    </row>
    <row r="290">
      <c r="A290" s="7" t="s">
        <v>63</v>
      </c>
      <c r="B290" s="8"/>
      <c r="C290" s="7"/>
      <c r="D290" s="47">
        <f t="shared" ref="D290:W290" si="113">SUM(D280:D289)</f>
        <v>5</v>
      </c>
      <c r="E290" s="47">
        <f t="shared" si="113"/>
        <v>0</v>
      </c>
      <c r="F290" s="47">
        <f t="shared" si="113"/>
        <v>0</v>
      </c>
      <c r="G290" s="47">
        <f t="shared" si="113"/>
        <v>37</v>
      </c>
      <c r="H290" s="47">
        <f t="shared" si="113"/>
        <v>0</v>
      </c>
      <c r="I290" s="47">
        <f t="shared" si="113"/>
        <v>11</v>
      </c>
      <c r="J290" s="47">
        <f t="shared" si="113"/>
        <v>0</v>
      </c>
      <c r="K290" s="47">
        <f t="shared" si="113"/>
        <v>25</v>
      </c>
      <c r="L290" s="47">
        <f t="shared" si="113"/>
        <v>0</v>
      </c>
      <c r="M290" s="47">
        <f t="shared" si="113"/>
        <v>15</v>
      </c>
      <c r="N290" s="47">
        <f t="shared" si="113"/>
        <v>0</v>
      </c>
      <c r="O290" s="47">
        <f t="shared" si="113"/>
        <v>4</v>
      </c>
      <c r="P290" s="47">
        <f t="shared" si="113"/>
        <v>1</v>
      </c>
      <c r="Q290" s="47">
        <f t="shared" si="113"/>
        <v>8</v>
      </c>
      <c r="R290" s="47">
        <f t="shared" si="113"/>
        <v>0</v>
      </c>
      <c r="S290" s="47">
        <f t="shared" si="113"/>
        <v>5</v>
      </c>
      <c r="T290" s="47">
        <f t="shared" si="113"/>
        <v>0</v>
      </c>
      <c r="U290" s="47">
        <f t="shared" si="113"/>
        <v>0</v>
      </c>
      <c r="V290" s="101">
        <f t="shared" si="113"/>
        <v>5</v>
      </c>
      <c r="W290" s="101">
        <f t="shared" si="113"/>
        <v>105</v>
      </c>
      <c r="X290" s="48">
        <f t="shared" si="111"/>
        <v>110</v>
      </c>
      <c r="Y290" s="102">
        <f>SUM(Y280:Y289)</f>
        <v>39671000</v>
      </c>
      <c r="Z290" s="4"/>
      <c r="AA290" s="4"/>
      <c r="AB290" s="4"/>
      <c r="AC290" s="3"/>
      <c r="AD290" s="3"/>
      <c r="AE290" s="2"/>
      <c r="AF290" s="3"/>
      <c r="AG290" s="3"/>
      <c r="AH290" s="3"/>
      <c r="AI290" s="2"/>
      <c r="AJ290" s="2"/>
      <c r="AK290" s="2"/>
      <c r="AL290" s="2"/>
      <c r="AM290" s="2"/>
      <c r="AN290" s="2"/>
      <c r="AO290" s="2"/>
      <c r="AP290" s="100"/>
      <c r="AQ290" s="2"/>
      <c r="AR290" s="2"/>
      <c r="AS290" s="3"/>
    </row>
    <row r="291">
      <c r="A291" s="7" t="s">
        <v>64</v>
      </c>
      <c r="B291" s="8"/>
      <c r="C291" s="7"/>
      <c r="D291" s="7"/>
      <c r="E291" s="7"/>
      <c r="F291" s="7"/>
      <c r="G291" s="47">
        <f>G290-H290</f>
        <v>37</v>
      </c>
      <c r="H291" s="7"/>
      <c r="I291" s="47">
        <f>I290-J290</f>
        <v>11</v>
      </c>
      <c r="J291" s="7"/>
      <c r="K291" s="47">
        <f>K290-L290</f>
        <v>25</v>
      </c>
      <c r="L291" s="7"/>
      <c r="M291" s="47">
        <f>M290-N290</f>
        <v>15</v>
      </c>
      <c r="N291" s="7"/>
      <c r="O291" s="47">
        <f>O290-P290</f>
        <v>3</v>
      </c>
      <c r="P291" s="7"/>
      <c r="Q291" s="47">
        <f>Q290-R290</f>
        <v>8</v>
      </c>
      <c r="R291" s="7"/>
      <c r="S291" s="47">
        <f>S290-T290</f>
        <v>5</v>
      </c>
      <c r="T291" s="7"/>
      <c r="U291" s="7"/>
      <c r="V291" s="54"/>
      <c r="W291" s="54"/>
      <c r="X291" s="48">
        <f>sum(X280:X290)</f>
        <v>220</v>
      </c>
      <c r="Y291" s="55"/>
      <c r="Z291" s="4"/>
      <c r="AA291" s="4"/>
      <c r="AB291" s="4"/>
      <c r="AC291" s="3"/>
      <c r="AD291" s="3"/>
      <c r="AE291" s="2"/>
      <c r="AF291" s="3"/>
      <c r="AG291" s="3"/>
      <c r="AH291" s="3"/>
      <c r="AI291" s="2"/>
      <c r="AJ291" s="2"/>
      <c r="AK291" s="2"/>
      <c r="AL291" s="2"/>
      <c r="AM291" s="2"/>
      <c r="AN291" s="2"/>
      <c r="AO291" s="2"/>
      <c r="AP291" s="100"/>
      <c r="AQ291" s="2"/>
      <c r="AR291" s="2"/>
      <c r="AS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/>
      <c r="AA292" s="4"/>
      <c r="AB292" s="4"/>
      <c r="AC292" s="3"/>
      <c r="AD292" s="3"/>
      <c r="AE292" s="2"/>
      <c r="AF292" s="3"/>
      <c r="AG292" s="3"/>
      <c r="AH292" s="3"/>
      <c r="AI292" s="2"/>
      <c r="AJ292" s="2"/>
      <c r="AK292" s="2"/>
      <c r="AL292" s="2"/>
      <c r="AM292" s="2"/>
      <c r="AN292" s="2"/>
      <c r="AO292" s="2"/>
      <c r="AP292" s="100"/>
      <c r="AQ292" s="2"/>
      <c r="AR292" s="2"/>
      <c r="AS292" s="3"/>
    </row>
    <row r="293">
      <c r="A293" s="7"/>
      <c r="B293" s="8"/>
      <c r="C293" s="7"/>
      <c r="D293" s="9">
        <v>46011.0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  <c r="X293" s="6"/>
      <c r="Y293" s="6"/>
      <c r="Z293" s="4"/>
      <c r="AA293" s="4"/>
      <c r="AB293" s="4"/>
      <c r="AC293" s="3"/>
      <c r="AD293" s="3"/>
      <c r="AE293" s="2"/>
      <c r="AF293" s="3"/>
      <c r="AG293" s="3"/>
      <c r="AH293" s="3"/>
      <c r="AI293" s="2"/>
      <c r="AJ293" s="2"/>
      <c r="AK293" s="2"/>
      <c r="AL293" s="2"/>
      <c r="AM293" s="2"/>
      <c r="AN293" s="2"/>
      <c r="AO293" s="2"/>
      <c r="AP293" s="100"/>
      <c r="AQ293" s="2"/>
      <c r="AR293" s="2"/>
      <c r="AS293" s="3"/>
    </row>
    <row r="294">
      <c r="A294" s="70" t="s">
        <v>6</v>
      </c>
      <c r="B294" s="34" t="b">
        <v>0</v>
      </c>
      <c r="C294" s="7"/>
      <c r="D294" s="71" t="s">
        <v>7</v>
      </c>
      <c r="E294" s="11"/>
      <c r="F294" s="7"/>
      <c r="G294" s="71" t="s">
        <v>8</v>
      </c>
      <c r="H294" s="11"/>
      <c r="I294" s="71" t="s">
        <v>9</v>
      </c>
      <c r="J294" s="11"/>
      <c r="K294" s="72" t="s">
        <v>10</v>
      </c>
      <c r="L294" s="11"/>
      <c r="M294" s="71" t="s">
        <v>11</v>
      </c>
      <c r="N294" s="11"/>
      <c r="O294" s="71" t="s">
        <v>12</v>
      </c>
      <c r="P294" s="11"/>
      <c r="Q294" s="71" t="s">
        <v>13</v>
      </c>
      <c r="R294" s="11"/>
      <c r="S294" s="71" t="s">
        <v>14</v>
      </c>
      <c r="T294" s="11"/>
      <c r="U294" s="35" t="s">
        <v>15</v>
      </c>
      <c r="V294" s="73" t="s">
        <v>16</v>
      </c>
      <c r="W294" s="10"/>
      <c r="X294" s="10"/>
      <c r="Y294" s="11"/>
      <c r="Z294" s="4"/>
      <c r="AA294" s="4"/>
      <c r="AB294" s="4"/>
      <c r="AC294" s="3"/>
      <c r="AD294" s="3"/>
      <c r="AE294" s="2"/>
      <c r="AF294" s="3"/>
      <c r="AG294" s="3"/>
      <c r="AH294" s="3"/>
      <c r="AI294" s="2"/>
      <c r="AJ294" s="2"/>
      <c r="AK294" s="2"/>
      <c r="AL294" s="2"/>
      <c r="AM294" s="2"/>
      <c r="AN294" s="2"/>
      <c r="AO294" s="2"/>
      <c r="AP294" s="100"/>
      <c r="AQ294" s="2"/>
      <c r="AR294" s="2"/>
      <c r="AS294" s="3"/>
    </row>
    <row r="295">
      <c r="A295" s="7"/>
      <c r="B295" s="34" t="s">
        <v>28</v>
      </c>
      <c r="C295" s="35" t="s">
        <v>29</v>
      </c>
      <c r="D295" s="35" t="s">
        <v>30</v>
      </c>
      <c r="E295" s="35" t="s">
        <v>31</v>
      </c>
      <c r="F295" s="35" t="s">
        <v>32</v>
      </c>
      <c r="G295" s="35" t="s">
        <v>33</v>
      </c>
      <c r="H295" s="35" t="s">
        <v>31</v>
      </c>
      <c r="I295" s="35" t="s">
        <v>33</v>
      </c>
      <c r="J295" s="35" t="s">
        <v>31</v>
      </c>
      <c r="K295" s="35" t="s">
        <v>33</v>
      </c>
      <c r="L295" s="35" t="s">
        <v>31</v>
      </c>
      <c r="M295" s="35" t="s">
        <v>33</v>
      </c>
      <c r="N295" s="35" t="s">
        <v>31</v>
      </c>
      <c r="O295" s="35" t="s">
        <v>33</v>
      </c>
      <c r="P295" s="35" t="s">
        <v>31</v>
      </c>
      <c r="Q295" s="35" t="s">
        <v>33</v>
      </c>
      <c r="R295" s="35" t="s">
        <v>31</v>
      </c>
      <c r="S295" s="35" t="s">
        <v>33</v>
      </c>
      <c r="T295" s="35" t="s">
        <v>31</v>
      </c>
      <c r="U295" s="35" t="s">
        <v>34</v>
      </c>
      <c r="V295" s="36" t="s">
        <v>7</v>
      </c>
      <c r="W295" s="36" t="s">
        <v>35</v>
      </c>
      <c r="X295" s="36" t="s">
        <v>36</v>
      </c>
      <c r="Y295" s="36" t="s">
        <v>37</v>
      </c>
      <c r="Z295" s="4"/>
      <c r="AA295" s="4"/>
      <c r="AB295" s="4"/>
      <c r="AC295" s="3"/>
      <c r="AD295" s="3"/>
      <c r="AE295" s="2"/>
      <c r="AF295" s="3"/>
      <c r="AG295" s="3"/>
      <c r="AH295" s="3"/>
      <c r="AI295" s="2"/>
      <c r="AJ295" s="2"/>
      <c r="AK295" s="2"/>
      <c r="AL295" s="2"/>
      <c r="AM295" s="2"/>
      <c r="AN295" s="2"/>
      <c r="AO295" s="2"/>
      <c r="AP295" s="100"/>
      <c r="AQ295" s="2"/>
      <c r="AR295" s="2"/>
      <c r="AS295" s="3"/>
    </row>
    <row r="296">
      <c r="A296" s="7" t="s">
        <v>42</v>
      </c>
      <c r="B296" s="46">
        <v>335000.0</v>
      </c>
      <c r="C296" s="7"/>
      <c r="D296" s="47">
        <v>1.0</v>
      </c>
      <c r="E296" s="7"/>
      <c r="F296" s="7"/>
      <c r="G296" s="47">
        <v>14.0</v>
      </c>
      <c r="H296" s="47">
        <v>1.0</v>
      </c>
      <c r="I296" s="47">
        <v>8.0</v>
      </c>
      <c r="J296" s="7"/>
      <c r="K296" s="47">
        <v>22.0</v>
      </c>
      <c r="L296" s="7"/>
      <c r="M296" s="47">
        <v>11.0</v>
      </c>
      <c r="N296" s="7"/>
      <c r="O296" s="7"/>
      <c r="P296" s="7"/>
      <c r="Q296" s="47">
        <v>1.0</v>
      </c>
      <c r="R296" s="7"/>
      <c r="S296" s="7"/>
      <c r="T296" s="7"/>
      <c r="U296" s="7"/>
      <c r="V296" s="48">
        <f t="shared" ref="V296:V305" si="114">D296</f>
        <v>1</v>
      </c>
      <c r="W296" s="48">
        <f t="shared" ref="W296:W305" si="115">G296+I296+K296+M296+O296+Q296+S296</f>
        <v>56</v>
      </c>
      <c r="X296" s="48">
        <f t="shared" ref="X296:X306" si="116">V296+W296</f>
        <v>57</v>
      </c>
      <c r="Y296" s="49">
        <f t="shared" ref="Y296:Y305" si="117">B296*X296</f>
        <v>19095000</v>
      </c>
      <c r="Z296" s="4"/>
      <c r="AA296" s="4"/>
      <c r="AB296" s="4"/>
      <c r="AC296" s="3"/>
      <c r="AD296" s="3"/>
      <c r="AE296" s="2"/>
      <c r="AF296" s="3"/>
      <c r="AG296" s="3"/>
      <c r="AH296" s="3"/>
      <c r="AI296" s="2"/>
      <c r="AJ296" s="2"/>
      <c r="AK296" s="2"/>
      <c r="AL296" s="2"/>
      <c r="AM296" s="2"/>
      <c r="AN296" s="2"/>
      <c r="AO296" s="2"/>
      <c r="AP296" s="100"/>
      <c r="AQ296" s="2"/>
      <c r="AR296" s="2"/>
      <c r="AS296" s="3"/>
    </row>
    <row r="297">
      <c r="A297" s="7" t="s">
        <v>45</v>
      </c>
      <c r="B297" s="13">
        <v>395000.0</v>
      </c>
      <c r="C297" s="6"/>
      <c r="D297" s="7"/>
      <c r="E297" s="7"/>
      <c r="F297" s="7"/>
      <c r="G297" s="47">
        <v>17.0</v>
      </c>
      <c r="H297" s="7"/>
      <c r="I297" s="47">
        <v>3.0</v>
      </c>
      <c r="J297" s="7"/>
      <c r="K297" s="7"/>
      <c r="L297" s="7"/>
      <c r="M297" s="47">
        <v>3.0</v>
      </c>
      <c r="N297" s="7"/>
      <c r="O297" s="47">
        <v>3.0</v>
      </c>
      <c r="P297" s="7"/>
      <c r="Q297" s="47">
        <v>3.0</v>
      </c>
      <c r="R297" s="7"/>
      <c r="S297" s="7"/>
      <c r="T297" s="7"/>
      <c r="U297" s="7"/>
      <c r="V297" s="54" t="str">
        <f t="shared" si="114"/>
        <v/>
      </c>
      <c r="W297" s="48">
        <f t="shared" si="115"/>
        <v>29</v>
      </c>
      <c r="X297" s="48">
        <f t="shared" si="116"/>
        <v>29</v>
      </c>
      <c r="Y297" s="49">
        <f t="shared" si="117"/>
        <v>11455000</v>
      </c>
      <c r="Z297" s="4"/>
      <c r="AA297" s="4"/>
      <c r="AB297" s="4"/>
      <c r="AC297" s="3"/>
      <c r="AD297" s="3"/>
      <c r="AE297" s="2"/>
      <c r="AF297" s="3"/>
      <c r="AG297" s="3"/>
      <c r="AH297" s="3"/>
      <c r="AI297" s="2"/>
      <c r="AJ297" s="2"/>
      <c r="AK297" s="2"/>
      <c r="AL297" s="2"/>
      <c r="AM297" s="2"/>
      <c r="AN297" s="2"/>
      <c r="AO297" s="2"/>
      <c r="AP297" s="100"/>
      <c r="AQ297" s="2"/>
      <c r="AR297" s="2"/>
      <c r="AS297" s="3"/>
    </row>
    <row r="298">
      <c r="A298" s="7" t="s">
        <v>48</v>
      </c>
      <c r="B298" s="46">
        <v>450000.0</v>
      </c>
      <c r="C298" s="7"/>
      <c r="D298" s="47">
        <v>1.0</v>
      </c>
      <c r="E298" s="7"/>
      <c r="F298" s="7"/>
      <c r="G298" s="47">
        <v>1.0</v>
      </c>
      <c r="H298" s="7"/>
      <c r="I298" s="7"/>
      <c r="J298" s="7"/>
      <c r="K298" s="47">
        <v>3.0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48">
        <f t="shared" si="114"/>
        <v>1</v>
      </c>
      <c r="W298" s="48">
        <f t="shared" si="115"/>
        <v>4</v>
      </c>
      <c r="X298" s="48">
        <f t="shared" si="116"/>
        <v>5</v>
      </c>
      <c r="Y298" s="49">
        <f t="shared" si="117"/>
        <v>2250000</v>
      </c>
      <c r="Z298" s="4"/>
      <c r="AA298" s="4"/>
      <c r="AB298" s="4"/>
      <c r="AC298" s="3"/>
      <c r="AD298" s="3"/>
      <c r="AE298" s="2"/>
      <c r="AF298" s="3"/>
      <c r="AG298" s="3"/>
      <c r="AH298" s="3"/>
      <c r="AI298" s="2"/>
      <c r="AJ298" s="2"/>
      <c r="AK298" s="2"/>
      <c r="AL298" s="2"/>
      <c r="AM298" s="2"/>
      <c r="AN298" s="2"/>
      <c r="AO298" s="2"/>
      <c r="AP298" s="100"/>
      <c r="AQ298" s="2"/>
      <c r="AR298" s="2"/>
      <c r="AS298" s="3"/>
    </row>
    <row r="299">
      <c r="A299" s="7" t="s">
        <v>50</v>
      </c>
      <c r="B299" s="46">
        <v>575000.0</v>
      </c>
      <c r="C299" s="7"/>
      <c r="D299" s="47">
        <v>1.0</v>
      </c>
      <c r="E299" s="7"/>
      <c r="F299" s="7"/>
      <c r="G299" s="47">
        <v>5.0</v>
      </c>
      <c r="H299" s="7"/>
      <c r="I299" s="7"/>
      <c r="J299" s="7"/>
      <c r="K299" s="7"/>
      <c r="L299" s="7"/>
      <c r="M299" s="47">
        <v>1.0</v>
      </c>
      <c r="N299" s="7"/>
      <c r="O299" s="7"/>
      <c r="P299" s="7"/>
      <c r="Q299" s="7"/>
      <c r="R299" s="7"/>
      <c r="S299" s="7"/>
      <c r="T299" s="7"/>
      <c r="U299" s="7"/>
      <c r="V299" s="48">
        <f t="shared" si="114"/>
        <v>1</v>
      </c>
      <c r="W299" s="48">
        <f t="shared" si="115"/>
        <v>6</v>
      </c>
      <c r="X299" s="48">
        <f t="shared" si="116"/>
        <v>7</v>
      </c>
      <c r="Y299" s="49">
        <f t="shared" si="117"/>
        <v>4025000</v>
      </c>
      <c r="Z299" s="4"/>
      <c r="AA299" s="4"/>
      <c r="AB299" s="4"/>
      <c r="AC299" s="3"/>
      <c r="AD299" s="3"/>
      <c r="AE299" s="2"/>
      <c r="AF299" s="3"/>
      <c r="AG299" s="3"/>
      <c r="AH299" s="3"/>
      <c r="AI299" s="2"/>
      <c r="AJ299" s="2"/>
      <c r="AK299" s="2"/>
      <c r="AL299" s="2"/>
      <c r="AM299" s="2"/>
      <c r="AN299" s="2"/>
      <c r="AO299" s="2"/>
      <c r="AP299" s="100"/>
      <c r="AQ299" s="2"/>
      <c r="AR299" s="2"/>
      <c r="AS299" s="3"/>
    </row>
    <row r="300">
      <c r="A300" s="7" t="s">
        <v>53</v>
      </c>
      <c r="B300" s="53">
        <v>262000.0</v>
      </c>
      <c r="C300" s="7"/>
      <c r="D300" s="47">
        <v>1.0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47">
        <v>1.0</v>
      </c>
      <c r="R300" s="7"/>
      <c r="S300" s="47">
        <v>1.0</v>
      </c>
      <c r="T300" s="7"/>
      <c r="U300" s="7"/>
      <c r="V300" s="48">
        <f t="shared" si="114"/>
        <v>1</v>
      </c>
      <c r="W300" s="48">
        <f t="shared" si="115"/>
        <v>2</v>
      </c>
      <c r="X300" s="48">
        <f t="shared" si="116"/>
        <v>3</v>
      </c>
      <c r="Y300" s="49">
        <f t="shared" si="117"/>
        <v>786000</v>
      </c>
      <c r="Z300" s="4"/>
      <c r="AA300" s="4"/>
      <c r="AB300" s="4"/>
      <c r="AC300" s="3"/>
      <c r="AD300" s="3"/>
      <c r="AE300" s="2"/>
      <c r="AF300" s="3"/>
      <c r="AG300" s="3"/>
      <c r="AH300" s="3"/>
      <c r="AI300" s="2"/>
      <c r="AJ300" s="2"/>
      <c r="AK300" s="2"/>
      <c r="AL300" s="2"/>
      <c r="AM300" s="2"/>
      <c r="AN300" s="2"/>
      <c r="AO300" s="2"/>
      <c r="AP300" s="100"/>
      <c r="AQ300" s="2"/>
      <c r="AR300" s="2"/>
      <c r="AS300" s="3"/>
    </row>
    <row r="301">
      <c r="A301" s="7" t="s">
        <v>55</v>
      </c>
      <c r="B301" s="53">
        <v>185000.0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47">
        <v>1.0</v>
      </c>
      <c r="T301" s="7"/>
      <c r="U301" s="7"/>
      <c r="V301" s="54" t="str">
        <f t="shared" si="114"/>
        <v/>
      </c>
      <c r="W301" s="48">
        <f t="shared" si="115"/>
        <v>1</v>
      </c>
      <c r="X301" s="48">
        <f t="shared" si="116"/>
        <v>1</v>
      </c>
      <c r="Y301" s="49">
        <f t="shared" si="117"/>
        <v>185000</v>
      </c>
      <c r="Z301" s="4"/>
      <c r="AA301" s="4"/>
      <c r="AB301" s="4"/>
      <c r="AC301" s="3"/>
      <c r="AD301" s="3"/>
      <c r="AE301" s="2"/>
      <c r="AF301" s="3"/>
      <c r="AG301" s="3"/>
      <c r="AH301" s="3"/>
      <c r="AI301" s="2"/>
      <c r="AJ301" s="2"/>
      <c r="AK301" s="2"/>
      <c r="AL301" s="2"/>
      <c r="AM301" s="2"/>
      <c r="AN301" s="2"/>
      <c r="AO301" s="2"/>
      <c r="AP301" s="100"/>
      <c r="AQ301" s="2"/>
      <c r="AR301" s="2"/>
      <c r="AS301" s="3"/>
    </row>
    <row r="302">
      <c r="A302" s="7" t="s">
        <v>57</v>
      </c>
      <c r="B302" s="53">
        <v>242000.0</v>
      </c>
      <c r="C302" s="7"/>
      <c r="D302" s="47">
        <v>1.0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47">
        <v>1.0</v>
      </c>
      <c r="R302" s="7"/>
      <c r="S302" s="47">
        <v>1.0</v>
      </c>
      <c r="T302" s="7"/>
      <c r="U302" s="7"/>
      <c r="V302" s="48">
        <f t="shared" si="114"/>
        <v>1</v>
      </c>
      <c r="W302" s="48">
        <f t="shared" si="115"/>
        <v>2</v>
      </c>
      <c r="X302" s="48">
        <f t="shared" si="116"/>
        <v>3</v>
      </c>
      <c r="Y302" s="49">
        <f t="shared" si="117"/>
        <v>726000</v>
      </c>
      <c r="Z302" s="4"/>
      <c r="AA302" s="4"/>
      <c r="AB302" s="4"/>
      <c r="AC302" s="3"/>
      <c r="AD302" s="3"/>
      <c r="AE302" s="2"/>
      <c r="AF302" s="3"/>
      <c r="AG302" s="3"/>
      <c r="AH302" s="3"/>
      <c r="AI302" s="2"/>
      <c r="AJ302" s="2"/>
      <c r="AK302" s="2"/>
      <c r="AL302" s="2"/>
      <c r="AM302" s="2"/>
      <c r="AN302" s="2"/>
      <c r="AO302" s="2"/>
      <c r="AP302" s="100"/>
      <c r="AQ302" s="2"/>
      <c r="AR302" s="2"/>
      <c r="AS302" s="3"/>
    </row>
    <row r="303">
      <c r="A303" s="7" t="s">
        <v>60</v>
      </c>
      <c r="B303" s="53">
        <v>202000.0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47">
        <v>1.0</v>
      </c>
      <c r="R303" s="7"/>
      <c r="S303" s="47">
        <v>1.0</v>
      </c>
      <c r="T303" s="7"/>
      <c r="U303" s="7"/>
      <c r="V303" s="54" t="str">
        <f t="shared" si="114"/>
        <v/>
      </c>
      <c r="W303" s="48">
        <f t="shared" si="115"/>
        <v>2</v>
      </c>
      <c r="X303" s="48">
        <f t="shared" si="116"/>
        <v>2</v>
      </c>
      <c r="Y303" s="49">
        <f t="shared" si="117"/>
        <v>404000</v>
      </c>
      <c r="Z303" s="4"/>
      <c r="AA303" s="4"/>
      <c r="AB303" s="4"/>
      <c r="AC303" s="3"/>
      <c r="AD303" s="3"/>
      <c r="AE303" s="2"/>
      <c r="AF303" s="3"/>
      <c r="AG303" s="3"/>
      <c r="AH303" s="3"/>
      <c r="AI303" s="2"/>
      <c r="AJ303" s="2"/>
      <c r="AK303" s="2"/>
      <c r="AL303" s="2"/>
      <c r="AM303" s="2"/>
      <c r="AN303" s="2"/>
      <c r="AO303" s="2"/>
      <c r="AP303" s="100"/>
      <c r="AQ303" s="2"/>
      <c r="AR303" s="2"/>
      <c r="AS303" s="3"/>
    </row>
    <row r="304">
      <c r="A304" s="7" t="s">
        <v>61</v>
      </c>
      <c r="B304" s="53">
        <v>175000.0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47">
        <v>1.0</v>
      </c>
      <c r="R304" s="7"/>
      <c r="S304" s="47">
        <v>1.0</v>
      </c>
      <c r="T304" s="7"/>
      <c r="U304" s="7"/>
      <c r="V304" s="54" t="str">
        <f t="shared" si="114"/>
        <v/>
      </c>
      <c r="W304" s="48">
        <f t="shared" si="115"/>
        <v>2</v>
      </c>
      <c r="X304" s="48">
        <f t="shared" si="116"/>
        <v>2</v>
      </c>
      <c r="Y304" s="49">
        <f t="shared" si="117"/>
        <v>350000</v>
      </c>
      <c r="Z304" s="4"/>
      <c r="AA304" s="4"/>
      <c r="AB304" s="4"/>
      <c r="AC304" s="3"/>
      <c r="AD304" s="3"/>
      <c r="AE304" s="2"/>
      <c r="AF304" s="3"/>
      <c r="AG304" s="3"/>
      <c r="AH304" s="3"/>
      <c r="AI304" s="2"/>
      <c r="AJ304" s="2"/>
      <c r="AK304" s="2"/>
      <c r="AL304" s="2"/>
      <c r="AM304" s="2"/>
      <c r="AN304" s="2"/>
      <c r="AO304" s="2"/>
      <c r="AP304" s="100"/>
      <c r="AQ304" s="2"/>
      <c r="AR304" s="2"/>
      <c r="AS304" s="3"/>
    </row>
    <row r="305">
      <c r="A305" s="7" t="s">
        <v>62</v>
      </c>
      <c r="B305" s="53">
        <v>233000.0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54" t="str">
        <f t="shared" si="114"/>
        <v/>
      </c>
      <c r="W305" s="48">
        <f t="shared" si="115"/>
        <v>0</v>
      </c>
      <c r="X305" s="48">
        <f t="shared" si="116"/>
        <v>0</v>
      </c>
      <c r="Y305" s="49">
        <f t="shared" si="117"/>
        <v>0</v>
      </c>
      <c r="Z305" s="4"/>
      <c r="AA305" s="4"/>
      <c r="AB305" s="4"/>
      <c r="AC305" s="3"/>
      <c r="AD305" s="3"/>
      <c r="AE305" s="2"/>
      <c r="AF305" s="3"/>
      <c r="AG305" s="3"/>
      <c r="AH305" s="3"/>
      <c r="AI305" s="2"/>
      <c r="AJ305" s="2"/>
      <c r="AK305" s="2"/>
      <c r="AL305" s="2"/>
      <c r="AM305" s="2"/>
      <c r="AN305" s="2"/>
      <c r="AO305" s="2"/>
      <c r="AP305" s="100"/>
      <c r="AQ305" s="2"/>
      <c r="AR305" s="2"/>
      <c r="AS305" s="3"/>
    </row>
    <row r="306">
      <c r="A306" s="7" t="s">
        <v>63</v>
      </c>
      <c r="B306" s="8"/>
      <c r="C306" s="7"/>
      <c r="D306" s="47">
        <f t="shared" ref="D306:W306" si="118">SUM(D296:D305)</f>
        <v>5</v>
      </c>
      <c r="E306" s="47">
        <f t="shared" si="118"/>
        <v>0</v>
      </c>
      <c r="F306" s="47">
        <f t="shared" si="118"/>
        <v>0</v>
      </c>
      <c r="G306" s="47">
        <f t="shared" si="118"/>
        <v>37</v>
      </c>
      <c r="H306" s="47">
        <f t="shared" si="118"/>
        <v>1</v>
      </c>
      <c r="I306" s="47">
        <f t="shared" si="118"/>
        <v>11</v>
      </c>
      <c r="J306" s="47">
        <f t="shared" si="118"/>
        <v>0</v>
      </c>
      <c r="K306" s="47">
        <f t="shared" si="118"/>
        <v>25</v>
      </c>
      <c r="L306" s="47">
        <f t="shared" si="118"/>
        <v>0</v>
      </c>
      <c r="M306" s="47">
        <f t="shared" si="118"/>
        <v>15</v>
      </c>
      <c r="N306" s="47">
        <f t="shared" si="118"/>
        <v>0</v>
      </c>
      <c r="O306" s="47">
        <f t="shared" si="118"/>
        <v>3</v>
      </c>
      <c r="P306" s="47">
        <f t="shared" si="118"/>
        <v>0</v>
      </c>
      <c r="Q306" s="47">
        <f t="shared" si="118"/>
        <v>8</v>
      </c>
      <c r="R306" s="47">
        <f t="shared" si="118"/>
        <v>0</v>
      </c>
      <c r="S306" s="47">
        <f t="shared" si="118"/>
        <v>5</v>
      </c>
      <c r="T306" s="47">
        <f t="shared" si="118"/>
        <v>0</v>
      </c>
      <c r="U306" s="47">
        <f t="shared" si="118"/>
        <v>0</v>
      </c>
      <c r="V306" s="101">
        <f t="shared" si="118"/>
        <v>5</v>
      </c>
      <c r="W306" s="101">
        <f t="shared" si="118"/>
        <v>104</v>
      </c>
      <c r="X306" s="48">
        <f t="shared" si="116"/>
        <v>109</v>
      </c>
      <c r="Y306" s="102">
        <f>SUM(Y296:Y305)</f>
        <v>39276000</v>
      </c>
      <c r="Z306" s="4"/>
      <c r="AA306" s="4"/>
      <c r="AB306" s="4"/>
      <c r="AC306" s="3"/>
      <c r="AD306" s="3"/>
      <c r="AE306" s="2"/>
      <c r="AF306" s="3"/>
      <c r="AG306" s="3"/>
      <c r="AH306" s="3"/>
      <c r="AI306" s="2"/>
      <c r="AJ306" s="2"/>
      <c r="AK306" s="2"/>
      <c r="AL306" s="2"/>
      <c r="AM306" s="2"/>
      <c r="AN306" s="2"/>
      <c r="AO306" s="2"/>
      <c r="AP306" s="100"/>
      <c r="AQ306" s="2"/>
      <c r="AR306" s="2"/>
      <c r="AS306" s="3"/>
    </row>
    <row r="307">
      <c r="A307" s="7" t="s">
        <v>64</v>
      </c>
      <c r="B307" s="8"/>
      <c r="C307" s="7"/>
      <c r="D307" s="7"/>
      <c r="E307" s="7"/>
      <c r="F307" s="7"/>
      <c r="G307" s="47">
        <f>G306-H306</f>
        <v>36</v>
      </c>
      <c r="H307" s="7"/>
      <c r="I307" s="47">
        <f>I306-J306</f>
        <v>11</v>
      </c>
      <c r="J307" s="7"/>
      <c r="K307" s="47">
        <f>K306-L306</f>
        <v>25</v>
      </c>
      <c r="L307" s="7"/>
      <c r="M307" s="47">
        <f>M306-N306</f>
        <v>15</v>
      </c>
      <c r="N307" s="7"/>
      <c r="O307" s="47">
        <f>O306-P306</f>
        <v>3</v>
      </c>
      <c r="P307" s="7"/>
      <c r="Q307" s="47">
        <f>Q306-R306</f>
        <v>8</v>
      </c>
      <c r="R307" s="7"/>
      <c r="S307" s="47">
        <f>S306-T306</f>
        <v>5</v>
      </c>
      <c r="T307" s="7"/>
      <c r="U307" s="7"/>
      <c r="V307" s="54"/>
      <c r="W307" s="54"/>
      <c r="X307" s="48">
        <f>sum(X296:X306)</f>
        <v>218</v>
      </c>
      <c r="Y307" s="55"/>
      <c r="Z307" s="4"/>
      <c r="AA307" s="4"/>
      <c r="AB307" s="4"/>
      <c r="AC307" s="3"/>
      <c r="AD307" s="3"/>
      <c r="AE307" s="2"/>
      <c r="AF307" s="3"/>
      <c r="AG307" s="3"/>
      <c r="AH307" s="3"/>
      <c r="AI307" s="2"/>
      <c r="AJ307" s="2"/>
      <c r="AK307" s="2"/>
      <c r="AL307" s="2"/>
      <c r="AM307" s="2"/>
      <c r="AN307" s="2"/>
      <c r="AO307" s="2"/>
      <c r="AP307" s="100"/>
      <c r="AQ307" s="2"/>
      <c r="AR307" s="2"/>
      <c r="AS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/>
      <c r="AA308" s="4"/>
      <c r="AB308" s="4"/>
      <c r="AC308" s="3"/>
      <c r="AD308" s="3"/>
      <c r="AE308" s="2"/>
      <c r="AF308" s="3"/>
      <c r="AG308" s="3"/>
      <c r="AH308" s="3"/>
      <c r="AI308" s="2"/>
      <c r="AJ308" s="2"/>
      <c r="AK308" s="2"/>
      <c r="AL308" s="2"/>
      <c r="AM308" s="2"/>
      <c r="AN308" s="2"/>
      <c r="AO308" s="2"/>
      <c r="AP308" s="100"/>
      <c r="AQ308" s="2"/>
      <c r="AR308" s="2"/>
      <c r="AS308" s="3"/>
    </row>
    <row r="309">
      <c r="A309" s="7"/>
      <c r="B309" s="8"/>
      <c r="C309" s="7"/>
      <c r="D309" s="9">
        <v>46012.0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  <c r="X309" s="6"/>
      <c r="Y309" s="6"/>
      <c r="Z309" s="4"/>
      <c r="AA309" s="4"/>
      <c r="AB309" s="4"/>
      <c r="AC309" s="3"/>
      <c r="AD309" s="3"/>
      <c r="AE309" s="2"/>
      <c r="AF309" s="3"/>
      <c r="AG309" s="3"/>
      <c r="AH309" s="3"/>
      <c r="AI309" s="2"/>
      <c r="AJ309" s="2"/>
      <c r="AK309" s="2"/>
      <c r="AL309" s="2"/>
      <c r="AM309" s="2"/>
      <c r="AN309" s="2"/>
      <c r="AO309" s="2"/>
      <c r="AP309" s="100"/>
      <c r="AQ309" s="2"/>
      <c r="AR309" s="2"/>
      <c r="AS309" s="3"/>
    </row>
    <row r="310">
      <c r="A310" s="70" t="s">
        <v>6</v>
      </c>
      <c r="B310" s="34" t="b">
        <v>0</v>
      </c>
      <c r="C310" s="7"/>
      <c r="D310" s="71" t="s">
        <v>7</v>
      </c>
      <c r="E310" s="11"/>
      <c r="F310" s="7"/>
      <c r="G310" s="71" t="s">
        <v>8</v>
      </c>
      <c r="H310" s="11"/>
      <c r="I310" s="71" t="s">
        <v>9</v>
      </c>
      <c r="J310" s="11"/>
      <c r="K310" s="72" t="s">
        <v>10</v>
      </c>
      <c r="L310" s="11"/>
      <c r="M310" s="71" t="s">
        <v>11</v>
      </c>
      <c r="N310" s="11"/>
      <c r="O310" s="71" t="s">
        <v>12</v>
      </c>
      <c r="P310" s="11"/>
      <c r="Q310" s="71" t="s">
        <v>13</v>
      </c>
      <c r="R310" s="11"/>
      <c r="S310" s="71" t="s">
        <v>14</v>
      </c>
      <c r="T310" s="11"/>
      <c r="U310" s="35" t="s">
        <v>15</v>
      </c>
      <c r="V310" s="73" t="s">
        <v>16</v>
      </c>
      <c r="W310" s="10"/>
      <c r="X310" s="10"/>
      <c r="Y310" s="11"/>
      <c r="Z310" s="4"/>
      <c r="AA310" s="4"/>
      <c r="AB310" s="4"/>
      <c r="AC310" s="3"/>
      <c r="AD310" s="3"/>
      <c r="AE310" s="2"/>
      <c r="AF310" s="3"/>
      <c r="AG310" s="3"/>
      <c r="AH310" s="3"/>
      <c r="AI310" s="2"/>
      <c r="AJ310" s="2"/>
      <c r="AK310" s="2"/>
      <c r="AL310" s="2"/>
      <c r="AM310" s="2"/>
      <c r="AN310" s="2"/>
      <c r="AO310" s="2"/>
      <c r="AP310" s="100"/>
      <c r="AQ310" s="2"/>
      <c r="AR310" s="2"/>
      <c r="AS310" s="3"/>
    </row>
    <row r="311">
      <c r="A311" s="7"/>
      <c r="B311" s="34" t="s">
        <v>28</v>
      </c>
      <c r="C311" s="35" t="s">
        <v>29</v>
      </c>
      <c r="D311" s="35" t="s">
        <v>30</v>
      </c>
      <c r="E311" s="35" t="s">
        <v>31</v>
      </c>
      <c r="F311" s="35" t="s">
        <v>32</v>
      </c>
      <c r="G311" s="35" t="s">
        <v>33</v>
      </c>
      <c r="H311" s="35" t="s">
        <v>31</v>
      </c>
      <c r="I311" s="35" t="s">
        <v>33</v>
      </c>
      <c r="J311" s="35" t="s">
        <v>31</v>
      </c>
      <c r="K311" s="35" t="s">
        <v>33</v>
      </c>
      <c r="L311" s="35" t="s">
        <v>31</v>
      </c>
      <c r="M311" s="35" t="s">
        <v>33</v>
      </c>
      <c r="N311" s="35" t="s">
        <v>31</v>
      </c>
      <c r="O311" s="35" t="s">
        <v>33</v>
      </c>
      <c r="P311" s="35" t="s">
        <v>31</v>
      </c>
      <c r="Q311" s="35" t="s">
        <v>33</v>
      </c>
      <c r="R311" s="35" t="s">
        <v>31</v>
      </c>
      <c r="S311" s="35" t="s">
        <v>33</v>
      </c>
      <c r="T311" s="35" t="s">
        <v>31</v>
      </c>
      <c r="U311" s="35" t="s">
        <v>34</v>
      </c>
      <c r="V311" s="36" t="s">
        <v>7</v>
      </c>
      <c r="W311" s="36" t="s">
        <v>35</v>
      </c>
      <c r="X311" s="36" t="s">
        <v>36</v>
      </c>
      <c r="Y311" s="36" t="s">
        <v>37</v>
      </c>
      <c r="Z311" s="4"/>
      <c r="AA311" s="4"/>
      <c r="AB311" s="4"/>
      <c r="AC311" s="3"/>
      <c r="AD311" s="3"/>
      <c r="AE311" s="2"/>
      <c r="AF311" s="3"/>
      <c r="AG311" s="3"/>
      <c r="AH311" s="3"/>
      <c r="AI311" s="2"/>
      <c r="AJ311" s="2"/>
      <c r="AK311" s="2"/>
      <c r="AL311" s="2"/>
      <c r="AM311" s="2"/>
      <c r="AN311" s="2"/>
      <c r="AO311" s="2"/>
      <c r="AP311" s="100"/>
      <c r="AQ311" s="2"/>
      <c r="AR311" s="2"/>
      <c r="AS311" s="3"/>
    </row>
    <row r="312">
      <c r="A312" s="7" t="s">
        <v>42</v>
      </c>
      <c r="B312" s="46">
        <v>335000.0</v>
      </c>
      <c r="C312" s="7"/>
      <c r="D312" s="47">
        <v>1.0</v>
      </c>
      <c r="E312" s="7"/>
      <c r="F312" s="7"/>
      <c r="G312" s="47">
        <v>13.0</v>
      </c>
      <c r="H312" s="7"/>
      <c r="I312" s="47">
        <v>8.0</v>
      </c>
      <c r="J312" s="7"/>
      <c r="K312" s="47">
        <v>22.0</v>
      </c>
      <c r="L312" s="7"/>
      <c r="M312" s="47">
        <v>11.0</v>
      </c>
      <c r="N312" s="7"/>
      <c r="O312" s="7"/>
      <c r="P312" s="7"/>
      <c r="Q312" s="47">
        <v>1.0</v>
      </c>
      <c r="R312" s="7"/>
      <c r="S312" s="7"/>
      <c r="T312" s="7"/>
      <c r="U312" s="7"/>
      <c r="V312" s="48">
        <f t="shared" ref="V312:V321" si="119">D312</f>
        <v>1</v>
      </c>
      <c r="W312" s="48">
        <f t="shared" ref="W312:W321" si="120">G312+I312+K312+M312+O312+Q312+S312</f>
        <v>55</v>
      </c>
      <c r="X312" s="48">
        <f t="shared" ref="X312:X322" si="121">V312+W312</f>
        <v>56</v>
      </c>
      <c r="Y312" s="49">
        <f t="shared" ref="Y312:Y321" si="122">B312*X312</f>
        <v>18760000</v>
      </c>
      <c r="Z312" s="4"/>
      <c r="AA312" s="4"/>
      <c r="AB312" s="4"/>
      <c r="AC312" s="3"/>
      <c r="AD312" s="3"/>
      <c r="AE312" s="2"/>
      <c r="AF312" s="3"/>
      <c r="AG312" s="3"/>
      <c r="AH312" s="3"/>
      <c r="AI312" s="2"/>
      <c r="AJ312" s="2"/>
      <c r="AK312" s="2"/>
      <c r="AL312" s="2"/>
      <c r="AM312" s="2"/>
      <c r="AN312" s="2"/>
      <c r="AO312" s="2"/>
      <c r="AP312" s="100"/>
      <c r="AQ312" s="2"/>
      <c r="AR312" s="2"/>
      <c r="AS312" s="3"/>
    </row>
    <row r="313">
      <c r="A313" s="7" t="s">
        <v>45</v>
      </c>
      <c r="B313" s="13">
        <v>395000.0</v>
      </c>
      <c r="C313" s="6"/>
      <c r="D313" s="7"/>
      <c r="E313" s="7"/>
      <c r="F313" s="7"/>
      <c r="G313" s="47">
        <v>17.0</v>
      </c>
      <c r="H313" s="7"/>
      <c r="I313" s="47">
        <v>3.0</v>
      </c>
      <c r="J313" s="7"/>
      <c r="K313" s="7"/>
      <c r="L313" s="7"/>
      <c r="M313" s="47">
        <v>3.0</v>
      </c>
      <c r="N313" s="7"/>
      <c r="O313" s="47">
        <v>3.0</v>
      </c>
      <c r="P313" s="7"/>
      <c r="Q313" s="47">
        <v>3.0</v>
      </c>
      <c r="R313" s="7"/>
      <c r="S313" s="7"/>
      <c r="T313" s="7"/>
      <c r="U313" s="7"/>
      <c r="V313" s="54" t="str">
        <f t="shared" si="119"/>
        <v/>
      </c>
      <c r="W313" s="48">
        <f t="shared" si="120"/>
        <v>29</v>
      </c>
      <c r="X313" s="48">
        <f t="shared" si="121"/>
        <v>29</v>
      </c>
      <c r="Y313" s="49">
        <f t="shared" si="122"/>
        <v>11455000</v>
      </c>
      <c r="Z313" s="4"/>
      <c r="AA313" s="4"/>
      <c r="AB313" s="4"/>
      <c r="AC313" s="3"/>
      <c r="AD313" s="3"/>
      <c r="AE313" s="2"/>
      <c r="AF313" s="3"/>
      <c r="AG313" s="3"/>
      <c r="AH313" s="3"/>
      <c r="AI313" s="2"/>
      <c r="AJ313" s="2"/>
      <c r="AK313" s="2"/>
      <c r="AL313" s="2"/>
      <c r="AM313" s="2"/>
      <c r="AN313" s="2"/>
      <c r="AO313" s="2"/>
      <c r="AP313" s="100"/>
      <c r="AQ313" s="2"/>
      <c r="AR313" s="2"/>
      <c r="AS313" s="3"/>
    </row>
    <row r="314">
      <c r="A314" s="7" t="s">
        <v>48</v>
      </c>
      <c r="B314" s="46">
        <v>450000.0</v>
      </c>
      <c r="C314" s="7"/>
      <c r="D314" s="47">
        <v>1.0</v>
      </c>
      <c r="E314" s="7"/>
      <c r="F314" s="7"/>
      <c r="G314" s="47">
        <v>1.0</v>
      </c>
      <c r="H314" s="7"/>
      <c r="I314" s="7"/>
      <c r="J314" s="7"/>
      <c r="K314" s="47">
        <v>3.0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48">
        <f t="shared" si="119"/>
        <v>1</v>
      </c>
      <c r="W314" s="48">
        <f t="shared" si="120"/>
        <v>4</v>
      </c>
      <c r="X314" s="48">
        <f t="shared" si="121"/>
        <v>5</v>
      </c>
      <c r="Y314" s="49">
        <f t="shared" si="122"/>
        <v>2250000</v>
      </c>
      <c r="Z314" s="4"/>
      <c r="AA314" s="4"/>
      <c r="AB314" s="4"/>
      <c r="AC314" s="3"/>
      <c r="AD314" s="3"/>
      <c r="AE314" s="2"/>
      <c r="AF314" s="3"/>
      <c r="AG314" s="3"/>
      <c r="AH314" s="3"/>
      <c r="AI314" s="2"/>
      <c r="AJ314" s="2"/>
      <c r="AK314" s="2"/>
      <c r="AL314" s="2"/>
      <c r="AM314" s="2"/>
      <c r="AN314" s="2"/>
      <c r="AO314" s="2"/>
      <c r="AP314" s="100"/>
      <c r="AQ314" s="2"/>
      <c r="AR314" s="2"/>
      <c r="AS314" s="3"/>
    </row>
    <row r="315">
      <c r="A315" s="7" t="s">
        <v>50</v>
      </c>
      <c r="B315" s="46">
        <v>575000.0</v>
      </c>
      <c r="C315" s="7"/>
      <c r="D315" s="47">
        <v>1.0</v>
      </c>
      <c r="E315" s="7"/>
      <c r="F315" s="7"/>
      <c r="G315" s="47">
        <v>5.0</v>
      </c>
      <c r="H315" s="7"/>
      <c r="I315" s="7"/>
      <c r="J315" s="7"/>
      <c r="K315" s="7"/>
      <c r="L315" s="7"/>
      <c r="M315" s="47">
        <v>1.0</v>
      </c>
      <c r="N315" s="7"/>
      <c r="O315" s="7"/>
      <c r="P315" s="7"/>
      <c r="Q315" s="7"/>
      <c r="R315" s="7"/>
      <c r="S315" s="7"/>
      <c r="T315" s="7"/>
      <c r="U315" s="7"/>
      <c r="V315" s="48">
        <f t="shared" si="119"/>
        <v>1</v>
      </c>
      <c r="W315" s="48">
        <f t="shared" si="120"/>
        <v>6</v>
      </c>
      <c r="X315" s="48">
        <f t="shared" si="121"/>
        <v>7</v>
      </c>
      <c r="Y315" s="49">
        <f t="shared" si="122"/>
        <v>4025000</v>
      </c>
      <c r="Z315" s="4"/>
      <c r="AA315" s="4"/>
      <c r="AB315" s="4"/>
      <c r="AC315" s="3"/>
      <c r="AD315" s="3"/>
      <c r="AE315" s="2"/>
      <c r="AF315" s="3"/>
      <c r="AG315" s="3"/>
      <c r="AH315" s="3"/>
      <c r="AI315" s="2"/>
      <c r="AJ315" s="2"/>
      <c r="AK315" s="2"/>
      <c r="AL315" s="2"/>
      <c r="AM315" s="2"/>
      <c r="AN315" s="2"/>
      <c r="AO315" s="2"/>
      <c r="AP315" s="100"/>
      <c r="AQ315" s="2"/>
      <c r="AR315" s="2"/>
      <c r="AS315" s="3"/>
    </row>
    <row r="316">
      <c r="A316" s="7" t="s">
        <v>53</v>
      </c>
      <c r="B316" s="53">
        <v>262000.0</v>
      </c>
      <c r="C316" s="7"/>
      <c r="D316" s="47">
        <v>1.0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47">
        <v>1.0</v>
      </c>
      <c r="R316" s="7"/>
      <c r="S316" s="47">
        <v>1.0</v>
      </c>
      <c r="T316" s="7"/>
      <c r="U316" s="7"/>
      <c r="V316" s="48">
        <f t="shared" si="119"/>
        <v>1</v>
      </c>
      <c r="W316" s="48">
        <f t="shared" si="120"/>
        <v>2</v>
      </c>
      <c r="X316" s="48">
        <f t="shared" si="121"/>
        <v>3</v>
      </c>
      <c r="Y316" s="49">
        <f t="shared" si="122"/>
        <v>786000</v>
      </c>
      <c r="Z316" s="4"/>
      <c r="AA316" s="4"/>
      <c r="AB316" s="4"/>
      <c r="AC316" s="3"/>
      <c r="AD316" s="3"/>
      <c r="AE316" s="2"/>
      <c r="AF316" s="3"/>
      <c r="AG316" s="3"/>
      <c r="AH316" s="3"/>
      <c r="AI316" s="2"/>
      <c r="AJ316" s="2"/>
      <c r="AK316" s="2"/>
      <c r="AL316" s="2"/>
      <c r="AM316" s="2"/>
      <c r="AN316" s="2"/>
      <c r="AO316" s="2"/>
      <c r="AP316" s="100"/>
      <c r="AQ316" s="2"/>
      <c r="AR316" s="2"/>
      <c r="AS316" s="3"/>
    </row>
    <row r="317">
      <c r="A317" s="7" t="s">
        <v>55</v>
      </c>
      <c r="B317" s="53">
        <v>185000.0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47">
        <v>1.0</v>
      </c>
      <c r="T317" s="7"/>
      <c r="U317" s="7"/>
      <c r="V317" s="54" t="str">
        <f t="shared" si="119"/>
        <v/>
      </c>
      <c r="W317" s="48">
        <f t="shared" si="120"/>
        <v>1</v>
      </c>
      <c r="X317" s="48">
        <f t="shared" si="121"/>
        <v>1</v>
      </c>
      <c r="Y317" s="49">
        <f t="shared" si="122"/>
        <v>185000</v>
      </c>
      <c r="Z317" s="4"/>
      <c r="AA317" s="4"/>
      <c r="AB317" s="4"/>
      <c r="AC317" s="3"/>
      <c r="AD317" s="3"/>
      <c r="AE317" s="2"/>
      <c r="AF317" s="3"/>
      <c r="AG317" s="3"/>
      <c r="AH317" s="3"/>
      <c r="AI317" s="2"/>
      <c r="AJ317" s="2"/>
      <c r="AK317" s="2"/>
      <c r="AL317" s="2"/>
      <c r="AM317" s="2"/>
      <c r="AN317" s="2"/>
      <c r="AO317" s="2"/>
      <c r="AP317" s="100"/>
      <c r="AQ317" s="2"/>
      <c r="AR317" s="2"/>
      <c r="AS317" s="3"/>
    </row>
    <row r="318">
      <c r="A318" s="7" t="s">
        <v>57</v>
      </c>
      <c r="B318" s="53">
        <v>242000.0</v>
      </c>
      <c r="C318" s="7"/>
      <c r="D318" s="47">
        <v>1.0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47">
        <v>1.0</v>
      </c>
      <c r="R318" s="7"/>
      <c r="S318" s="47">
        <v>1.0</v>
      </c>
      <c r="T318" s="7"/>
      <c r="U318" s="7"/>
      <c r="V318" s="48">
        <f t="shared" si="119"/>
        <v>1</v>
      </c>
      <c r="W318" s="48">
        <f t="shared" si="120"/>
        <v>2</v>
      </c>
      <c r="X318" s="48">
        <f t="shared" si="121"/>
        <v>3</v>
      </c>
      <c r="Y318" s="49">
        <f t="shared" si="122"/>
        <v>726000</v>
      </c>
      <c r="Z318" s="4"/>
      <c r="AA318" s="4"/>
      <c r="AB318" s="4"/>
      <c r="AC318" s="3"/>
      <c r="AD318" s="3"/>
      <c r="AE318" s="2"/>
      <c r="AF318" s="3"/>
      <c r="AG318" s="3"/>
      <c r="AH318" s="3"/>
      <c r="AI318" s="2"/>
      <c r="AJ318" s="2"/>
      <c r="AK318" s="2"/>
      <c r="AL318" s="2"/>
      <c r="AM318" s="2"/>
      <c r="AN318" s="2"/>
      <c r="AO318" s="2"/>
      <c r="AP318" s="100"/>
      <c r="AQ318" s="2"/>
      <c r="AR318" s="2"/>
      <c r="AS318" s="3"/>
    </row>
    <row r="319">
      <c r="A319" s="7" t="s">
        <v>60</v>
      </c>
      <c r="B319" s="53">
        <v>202000.0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47">
        <v>1.0</v>
      </c>
      <c r="R319" s="7"/>
      <c r="S319" s="47">
        <v>1.0</v>
      </c>
      <c r="T319" s="7"/>
      <c r="U319" s="7"/>
      <c r="V319" s="54" t="str">
        <f t="shared" si="119"/>
        <v/>
      </c>
      <c r="W319" s="48">
        <f t="shared" si="120"/>
        <v>2</v>
      </c>
      <c r="X319" s="48">
        <f t="shared" si="121"/>
        <v>2</v>
      </c>
      <c r="Y319" s="49">
        <f t="shared" si="122"/>
        <v>404000</v>
      </c>
      <c r="Z319" s="4"/>
      <c r="AA319" s="4"/>
      <c r="AB319" s="4"/>
      <c r="AC319" s="3"/>
      <c r="AD319" s="3"/>
      <c r="AE319" s="2"/>
      <c r="AF319" s="3"/>
      <c r="AG319" s="3"/>
      <c r="AH319" s="3"/>
      <c r="AI319" s="2"/>
      <c r="AJ319" s="2"/>
      <c r="AK319" s="2"/>
      <c r="AL319" s="2"/>
      <c r="AM319" s="2"/>
      <c r="AN319" s="2"/>
      <c r="AO319" s="2"/>
      <c r="AP319" s="100"/>
      <c r="AQ319" s="2"/>
      <c r="AR319" s="2"/>
      <c r="AS319" s="3"/>
    </row>
    <row r="320">
      <c r="A320" s="7" t="s">
        <v>61</v>
      </c>
      <c r="B320" s="53">
        <v>175000.0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47">
        <v>1.0</v>
      </c>
      <c r="R320" s="7"/>
      <c r="S320" s="47">
        <v>1.0</v>
      </c>
      <c r="T320" s="7"/>
      <c r="U320" s="7"/>
      <c r="V320" s="54" t="str">
        <f t="shared" si="119"/>
        <v/>
      </c>
      <c r="W320" s="48">
        <f t="shared" si="120"/>
        <v>2</v>
      </c>
      <c r="X320" s="48">
        <f t="shared" si="121"/>
        <v>2</v>
      </c>
      <c r="Y320" s="49">
        <f t="shared" si="122"/>
        <v>350000</v>
      </c>
      <c r="Z320" s="4"/>
      <c r="AA320" s="4"/>
      <c r="AB320" s="4"/>
      <c r="AC320" s="3"/>
      <c r="AD320" s="3"/>
      <c r="AE320" s="2"/>
      <c r="AF320" s="3"/>
      <c r="AG320" s="3"/>
      <c r="AH320" s="3"/>
      <c r="AI320" s="2"/>
      <c r="AJ320" s="2"/>
      <c r="AK320" s="2"/>
      <c r="AL320" s="2"/>
      <c r="AM320" s="2"/>
      <c r="AN320" s="2"/>
      <c r="AO320" s="2"/>
      <c r="AP320" s="100"/>
      <c r="AQ320" s="2"/>
      <c r="AR320" s="2"/>
      <c r="AS320" s="3"/>
    </row>
    <row r="321">
      <c r="A321" s="7" t="s">
        <v>62</v>
      </c>
      <c r="B321" s="53">
        <v>233000.0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54" t="str">
        <f t="shared" si="119"/>
        <v/>
      </c>
      <c r="W321" s="48">
        <f t="shared" si="120"/>
        <v>0</v>
      </c>
      <c r="X321" s="48">
        <f t="shared" si="121"/>
        <v>0</v>
      </c>
      <c r="Y321" s="49">
        <f t="shared" si="122"/>
        <v>0</v>
      </c>
      <c r="Z321" s="4"/>
      <c r="AA321" s="4"/>
      <c r="AB321" s="4"/>
      <c r="AC321" s="3"/>
      <c r="AD321" s="3"/>
      <c r="AE321" s="2"/>
      <c r="AF321" s="3"/>
      <c r="AG321" s="3"/>
      <c r="AH321" s="3"/>
      <c r="AI321" s="2"/>
      <c r="AJ321" s="2"/>
      <c r="AK321" s="2"/>
      <c r="AL321" s="2"/>
      <c r="AM321" s="2"/>
      <c r="AN321" s="2"/>
      <c r="AO321" s="2"/>
      <c r="AP321" s="100"/>
      <c r="AQ321" s="2"/>
      <c r="AR321" s="2"/>
      <c r="AS321" s="3"/>
    </row>
    <row r="322">
      <c r="A322" s="7" t="s">
        <v>63</v>
      </c>
      <c r="B322" s="8"/>
      <c r="C322" s="7"/>
      <c r="D322" s="47">
        <f t="shared" ref="D322:W322" si="123">SUM(D312:D321)</f>
        <v>5</v>
      </c>
      <c r="E322" s="47">
        <f t="shared" si="123"/>
        <v>0</v>
      </c>
      <c r="F322" s="47">
        <f t="shared" si="123"/>
        <v>0</v>
      </c>
      <c r="G322" s="47">
        <f t="shared" si="123"/>
        <v>36</v>
      </c>
      <c r="H322" s="47">
        <f t="shared" si="123"/>
        <v>0</v>
      </c>
      <c r="I322" s="47">
        <f t="shared" si="123"/>
        <v>11</v>
      </c>
      <c r="J322" s="47">
        <f t="shared" si="123"/>
        <v>0</v>
      </c>
      <c r="K322" s="47">
        <f t="shared" si="123"/>
        <v>25</v>
      </c>
      <c r="L322" s="47">
        <f t="shared" si="123"/>
        <v>0</v>
      </c>
      <c r="M322" s="47">
        <f t="shared" si="123"/>
        <v>15</v>
      </c>
      <c r="N322" s="47">
        <f t="shared" si="123"/>
        <v>0</v>
      </c>
      <c r="O322" s="47">
        <f t="shared" si="123"/>
        <v>3</v>
      </c>
      <c r="P322" s="47">
        <f t="shared" si="123"/>
        <v>0</v>
      </c>
      <c r="Q322" s="47">
        <f t="shared" si="123"/>
        <v>8</v>
      </c>
      <c r="R322" s="47">
        <f t="shared" si="123"/>
        <v>0</v>
      </c>
      <c r="S322" s="47">
        <f t="shared" si="123"/>
        <v>5</v>
      </c>
      <c r="T322" s="47">
        <f t="shared" si="123"/>
        <v>0</v>
      </c>
      <c r="U322" s="47">
        <f t="shared" si="123"/>
        <v>0</v>
      </c>
      <c r="V322" s="101">
        <f t="shared" si="123"/>
        <v>5</v>
      </c>
      <c r="W322" s="101">
        <f t="shared" si="123"/>
        <v>103</v>
      </c>
      <c r="X322" s="48">
        <f t="shared" si="121"/>
        <v>108</v>
      </c>
      <c r="Y322" s="102">
        <f>SUM(Y312:Y321)</f>
        <v>38941000</v>
      </c>
      <c r="Z322" s="4"/>
      <c r="AA322" s="4"/>
      <c r="AB322" s="4"/>
      <c r="AC322" s="3"/>
      <c r="AD322" s="3"/>
      <c r="AE322" s="2"/>
      <c r="AF322" s="3"/>
      <c r="AG322" s="3"/>
      <c r="AH322" s="3"/>
      <c r="AI322" s="2"/>
      <c r="AJ322" s="2"/>
      <c r="AK322" s="2"/>
      <c r="AL322" s="2"/>
      <c r="AM322" s="2"/>
      <c r="AN322" s="2"/>
      <c r="AO322" s="2"/>
      <c r="AP322" s="100"/>
      <c r="AQ322" s="2"/>
      <c r="AR322" s="2"/>
      <c r="AS322" s="3"/>
    </row>
    <row r="323">
      <c r="A323" s="7" t="s">
        <v>64</v>
      </c>
      <c r="B323" s="8"/>
      <c r="C323" s="7"/>
      <c r="D323" s="7"/>
      <c r="E323" s="7"/>
      <c r="F323" s="7"/>
      <c r="G323" s="47">
        <f>G322-H322</f>
        <v>36</v>
      </c>
      <c r="H323" s="7"/>
      <c r="I323" s="47">
        <f>I322-J322</f>
        <v>11</v>
      </c>
      <c r="J323" s="7"/>
      <c r="K323" s="47">
        <f>K322-L322</f>
        <v>25</v>
      </c>
      <c r="L323" s="7"/>
      <c r="M323" s="47">
        <f>M322-N322</f>
        <v>15</v>
      </c>
      <c r="N323" s="7"/>
      <c r="O323" s="47">
        <f>O322-P322</f>
        <v>3</v>
      </c>
      <c r="P323" s="7"/>
      <c r="Q323" s="47">
        <f>Q322-R322</f>
        <v>8</v>
      </c>
      <c r="R323" s="7"/>
      <c r="S323" s="47">
        <f>S322-T322</f>
        <v>5</v>
      </c>
      <c r="T323" s="7"/>
      <c r="U323" s="7"/>
      <c r="V323" s="54"/>
      <c r="W323" s="54"/>
      <c r="X323" s="48">
        <f>sum(X312:X322)</f>
        <v>216</v>
      </c>
      <c r="Y323" s="55"/>
      <c r="Z323" s="4"/>
      <c r="AA323" s="4"/>
      <c r="AB323" s="4"/>
      <c r="AC323" s="3"/>
      <c r="AD323" s="3"/>
      <c r="AE323" s="2"/>
      <c r="AF323" s="3"/>
      <c r="AG323" s="3"/>
      <c r="AH323" s="3"/>
      <c r="AI323" s="2"/>
      <c r="AJ323" s="2"/>
      <c r="AK323" s="2"/>
      <c r="AL323" s="2"/>
      <c r="AM323" s="2"/>
      <c r="AN323" s="2"/>
      <c r="AO323" s="2"/>
      <c r="AP323" s="100"/>
      <c r="AQ323" s="2"/>
      <c r="AR323" s="2"/>
      <c r="AS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/>
      <c r="AA324" s="4"/>
      <c r="AB324" s="4"/>
      <c r="AC324" s="3"/>
      <c r="AD324" s="3"/>
      <c r="AE324" s="2"/>
      <c r="AF324" s="3"/>
      <c r="AG324" s="3"/>
      <c r="AH324" s="3"/>
      <c r="AI324" s="2"/>
      <c r="AJ324" s="2"/>
      <c r="AK324" s="2"/>
      <c r="AL324" s="2"/>
      <c r="AM324" s="2"/>
      <c r="AN324" s="2"/>
      <c r="AO324" s="2"/>
      <c r="AP324" s="100"/>
      <c r="AQ324" s="2"/>
      <c r="AR324" s="2"/>
      <c r="AS324" s="3"/>
    </row>
    <row r="325">
      <c r="A325" s="7"/>
      <c r="B325" s="8"/>
      <c r="C325" s="7"/>
      <c r="D325" s="9">
        <v>46013.0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  <c r="X325" s="6"/>
      <c r="Y325" s="6"/>
      <c r="Z325" s="4"/>
      <c r="AA325" s="4"/>
      <c r="AB325" s="4"/>
      <c r="AC325" s="3"/>
      <c r="AD325" s="3"/>
      <c r="AE325" s="2"/>
      <c r="AF325" s="3"/>
      <c r="AG325" s="3"/>
      <c r="AH325" s="3"/>
      <c r="AI325" s="2"/>
      <c r="AJ325" s="2"/>
      <c r="AK325" s="2"/>
      <c r="AL325" s="2"/>
      <c r="AM325" s="2"/>
      <c r="AN325" s="2"/>
      <c r="AO325" s="2"/>
      <c r="AP325" s="100"/>
      <c r="AQ325" s="2"/>
      <c r="AR325" s="2"/>
      <c r="AS325" s="3"/>
    </row>
    <row r="326">
      <c r="A326" s="70" t="s">
        <v>6</v>
      </c>
      <c r="B326" s="34" t="b">
        <v>0</v>
      </c>
      <c r="C326" s="7"/>
      <c r="D326" s="71" t="s">
        <v>7</v>
      </c>
      <c r="E326" s="11"/>
      <c r="F326" s="7"/>
      <c r="G326" s="71" t="s">
        <v>8</v>
      </c>
      <c r="H326" s="11"/>
      <c r="I326" s="71" t="s">
        <v>9</v>
      </c>
      <c r="J326" s="11"/>
      <c r="K326" s="71" t="s">
        <v>10</v>
      </c>
      <c r="L326" s="11"/>
      <c r="M326" s="71" t="s">
        <v>11</v>
      </c>
      <c r="N326" s="11"/>
      <c r="O326" s="71" t="s">
        <v>12</v>
      </c>
      <c r="P326" s="11"/>
      <c r="Q326" s="71" t="s">
        <v>13</v>
      </c>
      <c r="R326" s="11"/>
      <c r="S326" s="71" t="s">
        <v>14</v>
      </c>
      <c r="T326" s="11"/>
      <c r="U326" s="35" t="s">
        <v>15</v>
      </c>
      <c r="V326" s="73" t="s">
        <v>16</v>
      </c>
      <c r="W326" s="10"/>
      <c r="X326" s="10"/>
      <c r="Y326" s="11"/>
      <c r="Z326" s="4"/>
      <c r="AA326" s="4"/>
      <c r="AB326" s="4"/>
      <c r="AC326" s="3"/>
      <c r="AD326" s="3"/>
      <c r="AE326" s="2"/>
      <c r="AF326" s="3"/>
      <c r="AG326" s="3"/>
      <c r="AH326" s="3"/>
      <c r="AI326" s="2"/>
      <c r="AJ326" s="2"/>
      <c r="AK326" s="2"/>
      <c r="AL326" s="2"/>
      <c r="AM326" s="2"/>
      <c r="AN326" s="2"/>
      <c r="AO326" s="2"/>
      <c r="AP326" s="100"/>
      <c r="AQ326" s="2"/>
      <c r="AR326" s="2"/>
      <c r="AS326" s="3"/>
    </row>
    <row r="327">
      <c r="A327" s="7"/>
      <c r="B327" s="34" t="s">
        <v>28</v>
      </c>
      <c r="C327" s="35" t="s">
        <v>29</v>
      </c>
      <c r="D327" s="35" t="s">
        <v>30</v>
      </c>
      <c r="E327" s="35" t="s">
        <v>31</v>
      </c>
      <c r="F327" s="35" t="s">
        <v>32</v>
      </c>
      <c r="G327" s="35" t="s">
        <v>33</v>
      </c>
      <c r="H327" s="35" t="s">
        <v>31</v>
      </c>
      <c r="I327" s="35" t="s">
        <v>33</v>
      </c>
      <c r="J327" s="35" t="s">
        <v>31</v>
      </c>
      <c r="K327" s="35" t="s">
        <v>33</v>
      </c>
      <c r="L327" s="35" t="s">
        <v>31</v>
      </c>
      <c r="M327" s="35" t="s">
        <v>33</v>
      </c>
      <c r="N327" s="35" t="s">
        <v>31</v>
      </c>
      <c r="O327" s="35" t="s">
        <v>33</v>
      </c>
      <c r="P327" s="35" t="s">
        <v>31</v>
      </c>
      <c r="Q327" s="35" t="s">
        <v>33</v>
      </c>
      <c r="R327" s="35" t="s">
        <v>31</v>
      </c>
      <c r="S327" s="35" t="s">
        <v>33</v>
      </c>
      <c r="T327" s="35" t="s">
        <v>31</v>
      </c>
      <c r="U327" s="35" t="s">
        <v>34</v>
      </c>
      <c r="V327" s="36" t="s">
        <v>7</v>
      </c>
      <c r="W327" s="36" t="s">
        <v>35</v>
      </c>
      <c r="X327" s="36" t="s">
        <v>36</v>
      </c>
      <c r="Y327" s="36" t="s">
        <v>37</v>
      </c>
      <c r="Z327" s="4"/>
      <c r="AA327" s="4"/>
      <c r="AB327" s="4"/>
      <c r="AC327" s="3"/>
      <c r="AD327" s="3"/>
      <c r="AE327" s="2"/>
      <c r="AF327" s="3"/>
      <c r="AG327" s="3"/>
      <c r="AH327" s="3"/>
      <c r="AI327" s="2"/>
      <c r="AJ327" s="2"/>
      <c r="AK327" s="2"/>
      <c r="AL327" s="2"/>
      <c r="AM327" s="2"/>
      <c r="AN327" s="2"/>
      <c r="AO327" s="2"/>
      <c r="AP327" s="100"/>
      <c r="AQ327" s="2"/>
      <c r="AR327" s="2"/>
      <c r="AS327" s="3"/>
    </row>
    <row r="328">
      <c r="A328" s="7" t="s">
        <v>42</v>
      </c>
      <c r="B328" s="46">
        <v>335000.0</v>
      </c>
      <c r="C328" s="7"/>
      <c r="D328" s="47">
        <v>1.0</v>
      </c>
      <c r="E328" s="7"/>
      <c r="F328" s="7"/>
      <c r="G328" s="47">
        <v>13.0</v>
      </c>
      <c r="H328" s="7"/>
      <c r="I328" s="47">
        <v>8.0</v>
      </c>
      <c r="J328" s="7"/>
      <c r="K328" s="47">
        <v>22.0</v>
      </c>
      <c r="L328" s="7"/>
      <c r="M328" s="47">
        <v>11.0</v>
      </c>
      <c r="N328" s="7"/>
      <c r="O328" s="7"/>
      <c r="P328" s="7"/>
      <c r="Q328" s="47">
        <v>1.0</v>
      </c>
      <c r="R328" s="7"/>
      <c r="S328" s="7"/>
      <c r="T328" s="7"/>
      <c r="U328" s="7"/>
      <c r="V328" s="48">
        <f t="shared" ref="V328:V337" si="124">D328</f>
        <v>1</v>
      </c>
      <c r="W328" s="48">
        <f t="shared" ref="W328:W337" si="125">G328+I328+K328+M328+O328+Q328+S328</f>
        <v>55</v>
      </c>
      <c r="X328" s="48">
        <f t="shared" ref="X328:X338" si="126">V328+W328</f>
        <v>56</v>
      </c>
      <c r="Y328" s="49">
        <f t="shared" ref="Y328:Y337" si="127">B328*X328</f>
        <v>18760000</v>
      </c>
      <c r="Z328" s="4"/>
      <c r="AA328" s="4"/>
      <c r="AB328" s="4"/>
      <c r="AC328" s="3"/>
      <c r="AD328" s="3"/>
      <c r="AE328" s="2"/>
      <c r="AF328" s="3"/>
      <c r="AG328" s="3"/>
      <c r="AH328" s="3"/>
      <c r="AI328" s="2"/>
      <c r="AJ328" s="2"/>
      <c r="AK328" s="2"/>
      <c r="AL328" s="2"/>
      <c r="AM328" s="2"/>
      <c r="AN328" s="2"/>
      <c r="AO328" s="2"/>
      <c r="AP328" s="100"/>
      <c r="AQ328" s="2"/>
      <c r="AR328" s="2"/>
      <c r="AS328" s="3"/>
    </row>
    <row r="329">
      <c r="A329" s="7" t="s">
        <v>45</v>
      </c>
      <c r="B329" s="13">
        <v>395000.0</v>
      </c>
      <c r="C329" s="6"/>
      <c r="D329" s="7"/>
      <c r="E329" s="7"/>
      <c r="F329" s="7"/>
      <c r="G329" s="47">
        <v>17.0</v>
      </c>
      <c r="H329" s="7"/>
      <c r="I329" s="47">
        <v>3.0</v>
      </c>
      <c r="J329" s="7"/>
      <c r="K329" s="7"/>
      <c r="L329" s="7"/>
      <c r="M329" s="47">
        <v>3.0</v>
      </c>
      <c r="N329" s="7"/>
      <c r="O329" s="47">
        <v>3.0</v>
      </c>
      <c r="P329" s="47">
        <v>1.0</v>
      </c>
      <c r="Q329" s="47">
        <v>3.0</v>
      </c>
      <c r="R329" s="7"/>
      <c r="S329" s="7"/>
      <c r="T329" s="7"/>
      <c r="U329" s="7"/>
      <c r="V329" s="54" t="str">
        <f t="shared" si="124"/>
        <v/>
      </c>
      <c r="W329" s="48">
        <f t="shared" si="125"/>
        <v>29</v>
      </c>
      <c r="X329" s="48">
        <f t="shared" si="126"/>
        <v>29</v>
      </c>
      <c r="Y329" s="49">
        <f t="shared" si="127"/>
        <v>11455000</v>
      </c>
      <c r="Z329" s="4"/>
      <c r="AA329" s="4"/>
      <c r="AB329" s="4"/>
      <c r="AC329" s="3"/>
      <c r="AD329" s="3"/>
      <c r="AE329" s="2"/>
      <c r="AF329" s="3"/>
      <c r="AG329" s="3"/>
      <c r="AH329" s="3"/>
      <c r="AI329" s="2"/>
      <c r="AJ329" s="2"/>
      <c r="AK329" s="2"/>
      <c r="AL329" s="2"/>
      <c r="AM329" s="2"/>
      <c r="AN329" s="2"/>
      <c r="AO329" s="2"/>
      <c r="AP329" s="100"/>
      <c r="AQ329" s="2"/>
      <c r="AR329" s="2"/>
      <c r="AS329" s="3"/>
    </row>
    <row r="330">
      <c r="A330" s="7" t="s">
        <v>48</v>
      </c>
      <c r="B330" s="46">
        <v>450000.0</v>
      </c>
      <c r="C330" s="7"/>
      <c r="D330" s="47">
        <v>1.0</v>
      </c>
      <c r="E330" s="7"/>
      <c r="F330" s="7"/>
      <c r="G330" s="47">
        <v>1.0</v>
      </c>
      <c r="H330" s="7"/>
      <c r="I330" s="7"/>
      <c r="J330" s="7"/>
      <c r="K330" s="47">
        <v>3.0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48">
        <f t="shared" si="124"/>
        <v>1</v>
      </c>
      <c r="W330" s="48">
        <f t="shared" si="125"/>
        <v>4</v>
      </c>
      <c r="X330" s="48">
        <f t="shared" si="126"/>
        <v>5</v>
      </c>
      <c r="Y330" s="49">
        <f t="shared" si="127"/>
        <v>2250000</v>
      </c>
      <c r="Z330" s="4"/>
      <c r="AA330" s="4"/>
      <c r="AB330" s="4"/>
      <c r="AC330" s="3"/>
      <c r="AD330" s="3"/>
      <c r="AE330" s="2"/>
      <c r="AF330" s="3"/>
      <c r="AG330" s="3"/>
      <c r="AH330" s="3"/>
      <c r="AI330" s="2"/>
      <c r="AJ330" s="2"/>
      <c r="AK330" s="2"/>
      <c r="AL330" s="2"/>
      <c r="AM330" s="2"/>
      <c r="AN330" s="2"/>
      <c r="AO330" s="2"/>
      <c r="AP330" s="100"/>
      <c r="AQ330" s="2"/>
      <c r="AR330" s="2"/>
      <c r="AS330" s="3"/>
    </row>
    <row r="331">
      <c r="A331" s="7" t="s">
        <v>50</v>
      </c>
      <c r="B331" s="46">
        <v>575000.0</v>
      </c>
      <c r="C331" s="7"/>
      <c r="D331" s="47">
        <v>1.0</v>
      </c>
      <c r="E331" s="7"/>
      <c r="F331" s="7"/>
      <c r="G331" s="47">
        <v>5.0</v>
      </c>
      <c r="H331" s="7"/>
      <c r="I331" s="7"/>
      <c r="J331" s="7"/>
      <c r="K331" s="7"/>
      <c r="L331" s="7"/>
      <c r="M331" s="47">
        <v>1.0</v>
      </c>
      <c r="N331" s="7"/>
      <c r="O331" s="7"/>
      <c r="P331" s="7"/>
      <c r="Q331" s="7"/>
      <c r="R331" s="7"/>
      <c r="S331" s="7"/>
      <c r="T331" s="7"/>
      <c r="U331" s="7"/>
      <c r="V331" s="48">
        <f t="shared" si="124"/>
        <v>1</v>
      </c>
      <c r="W331" s="48">
        <f t="shared" si="125"/>
        <v>6</v>
      </c>
      <c r="X331" s="48">
        <f t="shared" si="126"/>
        <v>7</v>
      </c>
      <c r="Y331" s="49">
        <f t="shared" si="127"/>
        <v>4025000</v>
      </c>
      <c r="Z331" s="4"/>
      <c r="AA331" s="4"/>
      <c r="AB331" s="4"/>
      <c r="AC331" s="3"/>
      <c r="AD331" s="3"/>
      <c r="AE331" s="2"/>
      <c r="AF331" s="3"/>
      <c r="AG331" s="3"/>
      <c r="AH331" s="3"/>
      <c r="AI331" s="2"/>
      <c r="AJ331" s="2"/>
      <c r="AK331" s="2"/>
      <c r="AL331" s="2"/>
      <c r="AM331" s="2"/>
      <c r="AN331" s="2"/>
      <c r="AO331" s="2"/>
      <c r="AP331" s="100"/>
      <c r="AQ331" s="2"/>
      <c r="AR331" s="2"/>
      <c r="AS331" s="3"/>
    </row>
    <row r="332">
      <c r="A332" s="7" t="s">
        <v>53</v>
      </c>
      <c r="B332" s="53">
        <v>262000.0</v>
      </c>
      <c r="C332" s="7"/>
      <c r="D332" s="47">
        <v>1.0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47">
        <v>1.0</v>
      </c>
      <c r="R332" s="7"/>
      <c r="S332" s="47">
        <v>1.0</v>
      </c>
      <c r="T332" s="7"/>
      <c r="U332" s="7"/>
      <c r="V332" s="48">
        <f t="shared" si="124"/>
        <v>1</v>
      </c>
      <c r="W332" s="48">
        <f t="shared" si="125"/>
        <v>2</v>
      </c>
      <c r="X332" s="48">
        <f t="shared" si="126"/>
        <v>3</v>
      </c>
      <c r="Y332" s="49">
        <f t="shared" si="127"/>
        <v>786000</v>
      </c>
      <c r="Z332" s="4"/>
      <c r="AA332" s="4"/>
      <c r="AB332" s="4"/>
      <c r="AC332" s="3"/>
      <c r="AD332" s="3"/>
      <c r="AE332" s="2"/>
      <c r="AF332" s="3"/>
      <c r="AG332" s="3"/>
      <c r="AH332" s="3"/>
      <c r="AI332" s="2"/>
      <c r="AJ332" s="2"/>
      <c r="AK332" s="2"/>
      <c r="AL332" s="2"/>
      <c r="AM332" s="2"/>
      <c r="AN332" s="2"/>
      <c r="AO332" s="2"/>
      <c r="AP332" s="100"/>
      <c r="AQ332" s="2"/>
      <c r="AR332" s="2"/>
      <c r="AS332" s="3"/>
    </row>
    <row r="333">
      <c r="A333" s="7" t="s">
        <v>55</v>
      </c>
      <c r="B333" s="53">
        <v>185000.0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47">
        <v>1.0</v>
      </c>
      <c r="T333" s="7"/>
      <c r="U333" s="7"/>
      <c r="V333" s="54" t="str">
        <f t="shared" si="124"/>
        <v/>
      </c>
      <c r="W333" s="48">
        <f t="shared" si="125"/>
        <v>1</v>
      </c>
      <c r="X333" s="48">
        <f t="shared" si="126"/>
        <v>1</v>
      </c>
      <c r="Y333" s="49">
        <f t="shared" si="127"/>
        <v>185000</v>
      </c>
      <c r="Z333" s="4"/>
      <c r="AA333" s="4"/>
      <c r="AB333" s="4"/>
      <c r="AC333" s="3"/>
      <c r="AD333" s="3"/>
      <c r="AE333" s="2"/>
      <c r="AF333" s="3"/>
      <c r="AG333" s="3"/>
      <c r="AH333" s="3"/>
      <c r="AI333" s="2"/>
      <c r="AJ333" s="2"/>
      <c r="AK333" s="2"/>
      <c r="AL333" s="2"/>
      <c r="AM333" s="2"/>
      <c r="AN333" s="2"/>
      <c r="AO333" s="2"/>
      <c r="AP333" s="100"/>
      <c r="AQ333" s="2"/>
      <c r="AR333" s="2"/>
      <c r="AS333" s="3"/>
    </row>
    <row r="334">
      <c r="A334" s="7" t="s">
        <v>57</v>
      </c>
      <c r="B334" s="53">
        <v>242000.0</v>
      </c>
      <c r="C334" s="7"/>
      <c r="D334" s="47">
        <v>1.0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47">
        <v>1.0</v>
      </c>
      <c r="R334" s="7"/>
      <c r="S334" s="47">
        <v>1.0</v>
      </c>
      <c r="T334" s="7"/>
      <c r="U334" s="7"/>
      <c r="V334" s="48">
        <f t="shared" si="124"/>
        <v>1</v>
      </c>
      <c r="W334" s="48">
        <f t="shared" si="125"/>
        <v>2</v>
      </c>
      <c r="X334" s="48">
        <f t="shared" si="126"/>
        <v>3</v>
      </c>
      <c r="Y334" s="49">
        <f t="shared" si="127"/>
        <v>726000</v>
      </c>
      <c r="Z334" s="4"/>
      <c r="AA334" s="4"/>
      <c r="AB334" s="4"/>
      <c r="AC334" s="3"/>
      <c r="AD334" s="3"/>
      <c r="AE334" s="2"/>
      <c r="AF334" s="3"/>
      <c r="AG334" s="3"/>
      <c r="AH334" s="3"/>
      <c r="AI334" s="2"/>
      <c r="AJ334" s="2"/>
      <c r="AK334" s="2"/>
      <c r="AL334" s="2"/>
      <c r="AM334" s="2"/>
      <c r="AN334" s="2"/>
      <c r="AO334" s="2"/>
      <c r="AP334" s="100"/>
      <c r="AQ334" s="2"/>
      <c r="AR334" s="2"/>
      <c r="AS334" s="3"/>
    </row>
    <row r="335">
      <c r="A335" s="7" t="s">
        <v>60</v>
      </c>
      <c r="B335" s="53">
        <v>202000.0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47">
        <v>1.0</v>
      </c>
      <c r="R335" s="7"/>
      <c r="S335" s="47">
        <v>1.0</v>
      </c>
      <c r="T335" s="7"/>
      <c r="U335" s="7"/>
      <c r="V335" s="54" t="str">
        <f t="shared" si="124"/>
        <v/>
      </c>
      <c r="W335" s="48">
        <f t="shared" si="125"/>
        <v>2</v>
      </c>
      <c r="X335" s="48">
        <f t="shared" si="126"/>
        <v>2</v>
      </c>
      <c r="Y335" s="49">
        <f t="shared" si="127"/>
        <v>404000</v>
      </c>
      <c r="Z335" s="4"/>
      <c r="AA335" s="4"/>
      <c r="AB335" s="4"/>
      <c r="AC335" s="3"/>
      <c r="AD335" s="3"/>
      <c r="AE335" s="2"/>
      <c r="AF335" s="3"/>
      <c r="AG335" s="3"/>
      <c r="AH335" s="3"/>
      <c r="AI335" s="2"/>
      <c r="AJ335" s="2"/>
      <c r="AK335" s="2"/>
      <c r="AL335" s="2"/>
      <c r="AM335" s="2"/>
      <c r="AN335" s="2"/>
      <c r="AO335" s="2"/>
      <c r="AP335" s="100"/>
      <c r="AQ335" s="2"/>
      <c r="AR335" s="2"/>
      <c r="AS335" s="3"/>
    </row>
    <row r="336">
      <c r="A336" s="7" t="s">
        <v>61</v>
      </c>
      <c r="B336" s="53">
        <v>175000.0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47">
        <v>1.0</v>
      </c>
      <c r="R336" s="7"/>
      <c r="S336" s="47">
        <v>1.0</v>
      </c>
      <c r="T336" s="7"/>
      <c r="U336" s="7"/>
      <c r="V336" s="54" t="str">
        <f t="shared" si="124"/>
        <v/>
      </c>
      <c r="W336" s="48">
        <f t="shared" si="125"/>
        <v>2</v>
      </c>
      <c r="X336" s="48">
        <f t="shared" si="126"/>
        <v>2</v>
      </c>
      <c r="Y336" s="49">
        <f t="shared" si="127"/>
        <v>350000</v>
      </c>
      <c r="Z336" s="4"/>
      <c r="AA336" s="4"/>
      <c r="AB336" s="4"/>
      <c r="AC336" s="3"/>
      <c r="AD336" s="3"/>
      <c r="AE336" s="2"/>
      <c r="AF336" s="3"/>
      <c r="AG336" s="3"/>
      <c r="AH336" s="3"/>
      <c r="AI336" s="2"/>
      <c r="AJ336" s="2"/>
      <c r="AK336" s="2"/>
      <c r="AL336" s="2"/>
      <c r="AM336" s="2"/>
      <c r="AN336" s="2"/>
      <c r="AO336" s="2"/>
      <c r="AP336" s="100"/>
      <c r="AQ336" s="2"/>
      <c r="AR336" s="2"/>
      <c r="AS336" s="3"/>
    </row>
    <row r="337">
      <c r="A337" s="7" t="s">
        <v>62</v>
      </c>
      <c r="B337" s="53">
        <v>233000.0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54" t="str">
        <f t="shared" si="124"/>
        <v/>
      </c>
      <c r="W337" s="48">
        <f t="shared" si="125"/>
        <v>0</v>
      </c>
      <c r="X337" s="48">
        <f t="shared" si="126"/>
        <v>0</v>
      </c>
      <c r="Y337" s="49">
        <f t="shared" si="127"/>
        <v>0</v>
      </c>
      <c r="Z337" s="4"/>
      <c r="AA337" s="4"/>
      <c r="AB337" s="4"/>
      <c r="AC337" s="3"/>
      <c r="AD337" s="3"/>
      <c r="AE337" s="2"/>
      <c r="AF337" s="3"/>
      <c r="AG337" s="3"/>
      <c r="AH337" s="3"/>
      <c r="AI337" s="2"/>
      <c r="AJ337" s="2"/>
      <c r="AK337" s="2"/>
      <c r="AL337" s="2"/>
      <c r="AM337" s="2"/>
      <c r="AN337" s="2"/>
      <c r="AO337" s="2"/>
      <c r="AP337" s="100"/>
      <c r="AQ337" s="2"/>
      <c r="AR337" s="2"/>
      <c r="AS337" s="3"/>
    </row>
    <row r="338">
      <c r="A338" s="7" t="s">
        <v>63</v>
      </c>
      <c r="B338" s="8"/>
      <c r="C338" s="7"/>
      <c r="D338" s="47">
        <f t="shared" ref="D338:W338" si="128">SUM(D328:D337)</f>
        <v>5</v>
      </c>
      <c r="E338" s="47">
        <f t="shared" si="128"/>
        <v>0</v>
      </c>
      <c r="F338" s="47">
        <f t="shared" si="128"/>
        <v>0</v>
      </c>
      <c r="G338" s="47">
        <f t="shared" si="128"/>
        <v>36</v>
      </c>
      <c r="H338" s="47">
        <f t="shared" si="128"/>
        <v>0</v>
      </c>
      <c r="I338" s="47">
        <f t="shared" si="128"/>
        <v>11</v>
      </c>
      <c r="J338" s="47">
        <f t="shared" si="128"/>
        <v>0</v>
      </c>
      <c r="K338" s="47">
        <f t="shared" si="128"/>
        <v>25</v>
      </c>
      <c r="L338" s="47">
        <f t="shared" si="128"/>
        <v>0</v>
      </c>
      <c r="M338" s="47">
        <f t="shared" si="128"/>
        <v>15</v>
      </c>
      <c r="N338" s="47">
        <f t="shared" si="128"/>
        <v>0</v>
      </c>
      <c r="O338" s="47">
        <f t="shared" si="128"/>
        <v>3</v>
      </c>
      <c r="P338" s="47">
        <f t="shared" si="128"/>
        <v>1</v>
      </c>
      <c r="Q338" s="47">
        <f t="shared" si="128"/>
        <v>8</v>
      </c>
      <c r="R338" s="47">
        <f t="shared" si="128"/>
        <v>0</v>
      </c>
      <c r="S338" s="47">
        <f t="shared" si="128"/>
        <v>5</v>
      </c>
      <c r="T338" s="47">
        <f t="shared" si="128"/>
        <v>0</v>
      </c>
      <c r="U338" s="47">
        <f t="shared" si="128"/>
        <v>0</v>
      </c>
      <c r="V338" s="101">
        <f t="shared" si="128"/>
        <v>5</v>
      </c>
      <c r="W338" s="101">
        <f t="shared" si="128"/>
        <v>103</v>
      </c>
      <c r="X338" s="48">
        <f t="shared" si="126"/>
        <v>108</v>
      </c>
      <c r="Y338" s="102">
        <f>SUM(Y328:Y337)</f>
        <v>38941000</v>
      </c>
      <c r="Z338" s="4"/>
      <c r="AA338" s="4"/>
      <c r="AB338" s="4"/>
      <c r="AC338" s="3"/>
      <c r="AD338" s="3"/>
      <c r="AE338" s="2"/>
      <c r="AF338" s="3"/>
      <c r="AG338" s="3"/>
      <c r="AH338" s="3"/>
      <c r="AI338" s="2"/>
      <c r="AJ338" s="2"/>
      <c r="AK338" s="2"/>
      <c r="AL338" s="2"/>
      <c r="AM338" s="2"/>
      <c r="AN338" s="2"/>
      <c r="AO338" s="2"/>
      <c r="AP338" s="100"/>
      <c r="AQ338" s="2"/>
      <c r="AR338" s="2"/>
      <c r="AS338" s="3"/>
    </row>
    <row r="339">
      <c r="A339" s="7" t="s">
        <v>64</v>
      </c>
      <c r="B339" s="8"/>
      <c r="C339" s="7"/>
      <c r="D339" s="7"/>
      <c r="E339" s="7"/>
      <c r="F339" s="7"/>
      <c r="G339" s="47">
        <f>G338-H338</f>
        <v>36</v>
      </c>
      <c r="H339" s="7"/>
      <c r="I339" s="47">
        <f>I338-J338</f>
        <v>11</v>
      </c>
      <c r="J339" s="7"/>
      <c r="K339" s="47">
        <f>K338-L338</f>
        <v>25</v>
      </c>
      <c r="L339" s="7"/>
      <c r="M339" s="47">
        <f>M338-N338</f>
        <v>15</v>
      </c>
      <c r="N339" s="7"/>
      <c r="O339" s="47">
        <f>O338-P338</f>
        <v>2</v>
      </c>
      <c r="P339" s="7"/>
      <c r="Q339" s="47">
        <f>Q338-R338</f>
        <v>8</v>
      </c>
      <c r="R339" s="7"/>
      <c r="S339" s="47">
        <f>S338-T338</f>
        <v>5</v>
      </c>
      <c r="T339" s="7"/>
      <c r="U339" s="7"/>
      <c r="V339" s="54"/>
      <c r="W339" s="54"/>
      <c r="X339" s="48">
        <f>sum(X328:X338)</f>
        <v>216</v>
      </c>
      <c r="Y339" s="55"/>
      <c r="Z339" s="4"/>
      <c r="AA339" s="4"/>
      <c r="AB339" s="4"/>
      <c r="AC339" s="3"/>
      <c r="AD339" s="3"/>
      <c r="AE339" s="2"/>
      <c r="AF339" s="3"/>
      <c r="AG339" s="3"/>
      <c r="AH339" s="3"/>
      <c r="AI339" s="2"/>
      <c r="AJ339" s="2"/>
      <c r="AK339" s="2"/>
      <c r="AL339" s="2"/>
      <c r="AM339" s="2"/>
      <c r="AN339" s="2"/>
      <c r="AO339" s="2"/>
      <c r="AP339" s="100"/>
      <c r="AQ339" s="2"/>
      <c r="AR339" s="2"/>
      <c r="AS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/>
      <c r="AA340" s="4"/>
      <c r="AB340" s="4"/>
      <c r="AC340" s="3"/>
      <c r="AD340" s="3"/>
      <c r="AE340" s="2"/>
      <c r="AF340" s="3"/>
      <c r="AG340" s="3"/>
      <c r="AH340" s="3"/>
      <c r="AI340" s="2"/>
      <c r="AJ340" s="2"/>
      <c r="AK340" s="2"/>
      <c r="AL340" s="2"/>
      <c r="AM340" s="2"/>
      <c r="AN340" s="2"/>
      <c r="AO340" s="2"/>
      <c r="AP340" s="100"/>
      <c r="AQ340" s="2"/>
      <c r="AR340" s="2"/>
      <c r="AS340" s="3"/>
    </row>
    <row r="341">
      <c r="A341" s="7"/>
      <c r="B341" s="8"/>
      <c r="C341" s="7"/>
      <c r="D341" s="9">
        <v>46014.0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  <c r="X341" s="6"/>
      <c r="Y341" s="6"/>
      <c r="Z341" s="4"/>
      <c r="AA341" s="4"/>
      <c r="AB341" s="4"/>
      <c r="AC341" s="3"/>
      <c r="AD341" s="3"/>
      <c r="AE341" s="2"/>
      <c r="AF341" s="3"/>
      <c r="AG341" s="3"/>
      <c r="AH341" s="3"/>
      <c r="AI341" s="2"/>
      <c r="AJ341" s="2"/>
      <c r="AK341" s="2"/>
      <c r="AL341" s="2"/>
      <c r="AM341" s="2"/>
      <c r="AN341" s="2"/>
      <c r="AO341" s="2"/>
      <c r="AP341" s="100"/>
      <c r="AQ341" s="2"/>
      <c r="AR341" s="2"/>
      <c r="AS341" s="3"/>
    </row>
    <row r="342">
      <c r="A342" s="70" t="s">
        <v>6</v>
      </c>
      <c r="B342" s="34" t="b">
        <v>0</v>
      </c>
      <c r="C342" s="7"/>
      <c r="D342" s="71" t="s">
        <v>7</v>
      </c>
      <c r="E342" s="11"/>
      <c r="F342" s="7"/>
      <c r="G342" s="71" t="s">
        <v>8</v>
      </c>
      <c r="H342" s="11"/>
      <c r="I342" s="71" t="s">
        <v>9</v>
      </c>
      <c r="J342" s="11"/>
      <c r="K342" s="71" t="s">
        <v>10</v>
      </c>
      <c r="L342" s="11"/>
      <c r="M342" s="71" t="s">
        <v>11</v>
      </c>
      <c r="N342" s="11"/>
      <c r="O342" s="71" t="s">
        <v>12</v>
      </c>
      <c r="P342" s="11"/>
      <c r="Q342" s="71" t="s">
        <v>13</v>
      </c>
      <c r="R342" s="11"/>
      <c r="S342" s="71" t="s">
        <v>14</v>
      </c>
      <c r="T342" s="11"/>
      <c r="U342" s="35" t="s">
        <v>15</v>
      </c>
      <c r="V342" s="73" t="s">
        <v>16</v>
      </c>
      <c r="W342" s="10"/>
      <c r="X342" s="10"/>
      <c r="Y342" s="11"/>
      <c r="Z342" s="4"/>
      <c r="AA342" s="4"/>
      <c r="AB342" s="4"/>
      <c r="AC342" s="3"/>
      <c r="AD342" s="3"/>
      <c r="AE342" s="2"/>
      <c r="AF342" s="3"/>
      <c r="AG342" s="3"/>
      <c r="AH342" s="3"/>
      <c r="AI342" s="2"/>
      <c r="AJ342" s="2"/>
      <c r="AK342" s="2"/>
      <c r="AL342" s="2"/>
      <c r="AM342" s="2"/>
      <c r="AN342" s="2"/>
      <c r="AO342" s="2"/>
      <c r="AP342" s="100"/>
      <c r="AQ342" s="2"/>
      <c r="AR342" s="2"/>
      <c r="AS342" s="3"/>
    </row>
    <row r="343">
      <c r="A343" s="7"/>
      <c r="B343" s="34" t="s">
        <v>28</v>
      </c>
      <c r="C343" s="35" t="s">
        <v>29</v>
      </c>
      <c r="D343" s="35" t="s">
        <v>30</v>
      </c>
      <c r="E343" s="35" t="s">
        <v>31</v>
      </c>
      <c r="F343" s="35" t="s">
        <v>32</v>
      </c>
      <c r="G343" s="35" t="s">
        <v>33</v>
      </c>
      <c r="H343" s="35" t="s">
        <v>31</v>
      </c>
      <c r="I343" s="35" t="s">
        <v>33</v>
      </c>
      <c r="J343" s="35" t="s">
        <v>31</v>
      </c>
      <c r="K343" s="35" t="s">
        <v>33</v>
      </c>
      <c r="L343" s="35" t="s">
        <v>31</v>
      </c>
      <c r="M343" s="35" t="s">
        <v>33</v>
      </c>
      <c r="N343" s="35" t="s">
        <v>31</v>
      </c>
      <c r="O343" s="35" t="s">
        <v>33</v>
      </c>
      <c r="P343" s="35" t="s">
        <v>31</v>
      </c>
      <c r="Q343" s="35" t="s">
        <v>33</v>
      </c>
      <c r="R343" s="35" t="s">
        <v>31</v>
      </c>
      <c r="S343" s="35" t="s">
        <v>33</v>
      </c>
      <c r="T343" s="35" t="s">
        <v>31</v>
      </c>
      <c r="U343" s="35" t="s">
        <v>34</v>
      </c>
      <c r="V343" s="36" t="s">
        <v>7</v>
      </c>
      <c r="W343" s="36" t="s">
        <v>35</v>
      </c>
      <c r="X343" s="36" t="s">
        <v>36</v>
      </c>
      <c r="Y343" s="36" t="s">
        <v>37</v>
      </c>
      <c r="Z343" s="4"/>
      <c r="AA343" s="4"/>
      <c r="AB343" s="4"/>
      <c r="AC343" s="3"/>
      <c r="AD343" s="3"/>
      <c r="AE343" s="2"/>
      <c r="AF343" s="3"/>
      <c r="AG343" s="3"/>
      <c r="AH343" s="3"/>
      <c r="AI343" s="2"/>
      <c r="AJ343" s="2"/>
      <c r="AK343" s="2"/>
      <c r="AL343" s="2"/>
      <c r="AM343" s="2"/>
      <c r="AN343" s="2"/>
      <c r="AO343" s="2"/>
      <c r="AP343" s="100"/>
      <c r="AQ343" s="2"/>
      <c r="AR343" s="2"/>
      <c r="AS343" s="3"/>
    </row>
    <row r="344">
      <c r="A344" s="7" t="s">
        <v>42</v>
      </c>
      <c r="B344" s="46">
        <v>335000.0</v>
      </c>
      <c r="C344" s="7"/>
      <c r="D344" s="47">
        <v>1.0</v>
      </c>
      <c r="E344" s="7"/>
      <c r="F344" s="7"/>
      <c r="G344" s="47">
        <v>13.0</v>
      </c>
      <c r="H344" s="7"/>
      <c r="I344" s="47">
        <v>8.0</v>
      </c>
      <c r="J344" s="7"/>
      <c r="K344" s="47">
        <v>22.0</v>
      </c>
      <c r="L344" s="7"/>
      <c r="M344" s="47">
        <v>6.0</v>
      </c>
      <c r="N344" s="7"/>
      <c r="O344" s="47">
        <v>5.0</v>
      </c>
      <c r="P344" s="47">
        <v>2.0</v>
      </c>
      <c r="Q344" s="47">
        <v>1.0</v>
      </c>
      <c r="R344" s="7"/>
      <c r="S344" s="7"/>
      <c r="T344" s="7"/>
      <c r="U344" s="7"/>
      <c r="V344" s="48">
        <f t="shared" ref="V344:V353" si="129">D344</f>
        <v>1</v>
      </c>
      <c r="W344" s="48">
        <f t="shared" ref="W344:W353" si="130">G344+I344+K344+M344+O344+Q344+S344</f>
        <v>55</v>
      </c>
      <c r="X344" s="48">
        <f t="shared" ref="X344:X354" si="131">V344+W344</f>
        <v>56</v>
      </c>
      <c r="Y344" s="49">
        <f t="shared" ref="Y344:Y353" si="132">B344*X344</f>
        <v>18760000</v>
      </c>
      <c r="Z344" s="4"/>
      <c r="AA344" s="4"/>
      <c r="AB344" s="4"/>
      <c r="AC344" s="3"/>
      <c r="AD344" s="3"/>
      <c r="AE344" s="2"/>
      <c r="AF344" s="3"/>
      <c r="AG344" s="3"/>
      <c r="AH344" s="3"/>
      <c r="AI344" s="2"/>
      <c r="AJ344" s="2"/>
      <c r="AK344" s="2"/>
      <c r="AL344" s="2"/>
      <c r="AM344" s="2"/>
      <c r="AN344" s="2"/>
      <c r="AO344" s="2"/>
      <c r="AP344" s="100"/>
      <c r="AQ344" s="2"/>
      <c r="AR344" s="2"/>
      <c r="AS344" s="3"/>
    </row>
    <row r="345">
      <c r="A345" s="7" t="s">
        <v>45</v>
      </c>
      <c r="B345" s="13">
        <v>395000.0</v>
      </c>
      <c r="C345" s="6"/>
      <c r="D345" s="7"/>
      <c r="E345" s="7"/>
      <c r="F345" s="7"/>
      <c r="G345" s="47">
        <v>17.0</v>
      </c>
      <c r="H345" s="7"/>
      <c r="I345" s="47">
        <v>3.0</v>
      </c>
      <c r="J345" s="7"/>
      <c r="K345" s="7"/>
      <c r="L345" s="7"/>
      <c r="M345" s="47">
        <v>3.0</v>
      </c>
      <c r="N345" s="7"/>
      <c r="O345" s="47">
        <v>2.0</v>
      </c>
      <c r="P345" s="47">
        <v>1.0</v>
      </c>
      <c r="Q345" s="47">
        <v>3.0</v>
      </c>
      <c r="R345" s="7"/>
      <c r="S345" s="7"/>
      <c r="T345" s="7"/>
      <c r="U345" s="7"/>
      <c r="V345" s="54" t="str">
        <f t="shared" si="129"/>
        <v/>
      </c>
      <c r="W345" s="48">
        <f t="shared" si="130"/>
        <v>28</v>
      </c>
      <c r="X345" s="48">
        <f t="shared" si="131"/>
        <v>28</v>
      </c>
      <c r="Y345" s="49">
        <f t="shared" si="132"/>
        <v>11060000</v>
      </c>
      <c r="Z345" s="4"/>
      <c r="AA345" s="4"/>
      <c r="AB345" s="4"/>
      <c r="AC345" s="3"/>
      <c r="AD345" s="3"/>
      <c r="AE345" s="2"/>
      <c r="AF345" s="3"/>
      <c r="AG345" s="3"/>
      <c r="AH345" s="3"/>
      <c r="AI345" s="2"/>
      <c r="AJ345" s="2"/>
      <c r="AK345" s="2"/>
      <c r="AL345" s="2"/>
      <c r="AM345" s="2"/>
      <c r="AN345" s="2"/>
      <c r="AO345" s="2"/>
      <c r="AP345" s="100"/>
      <c r="AQ345" s="2"/>
      <c r="AR345" s="2"/>
      <c r="AS345" s="3"/>
    </row>
    <row r="346">
      <c r="A346" s="7" t="s">
        <v>48</v>
      </c>
      <c r="B346" s="46">
        <v>450000.0</v>
      </c>
      <c r="C346" s="7"/>
      <c r="D346" s="47">
        <v>1.0</v>
      </c>
      <c r="E346" s="7"/>
      <c r="F346" s="7"/>
      <c r="G346" s="47">
        <v>1.0</v>
      </c>
      <c r="H346" s="7"/>
      <c r="I346" s="7"/>
      <c r="J346" s="7"/>
      <c r="K346" s="47">
        <v>3.0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48">
        <f t="shared" si="129"/>
        <v>1</v>
      </c>
      <c r="W346" s="48">
        <f t="shared" si="130"/>
        <v>4</v>
      </c>
      <c r="X346" s="48">
        <f t="shared" si="131"/>
        <v>5</v>
      </c>
      <c r="Y346" s="49">
        <f t="shared" si="132"/>
        <v>2250000</v>
      </c>
      <c r="Z346" s="4"/>
      <c r="AA346" s="4"/>
      <c r="AB346" s="4"/>
      <c r="AC346" s="3"/>
      <c r="AD346" s="3"/>
      <c r="AE346" s="2"/>
      <c r="AF346" s="3"/>
      <c r="AG346" s="3"/>
      <c r="AH346" s="3"/>
      <c r="AI346" s="2"/>
      <c r="AJ346" s="2"/>
      <c r="AK346" s="2"/>
      <c r="AL346" s="2"/>
      <c r="AM346" s="2"/>
      <c r="AN346" s="2"/>
      <c r="AO346" s="2"/>
      <c r="AP346" s="100"/>
      <c r="AQ346" s="2"/>
      <c r="AR346" s="2"/>
      <c r="AS346" s="3"/>
    </row>
    <row r="347">
      <c r="A347" s="7" t="s">
        <v>50</v>
      </c>
      <c r="B347" s="46">
        <v>575000.0</v>
      </c>
      <c r="C347" s="7"/>
      <c r="D347" s="47">
        <v>1.0</v>
      </c>
      <c r="E347" s="7"/>
      <c r="F347" s="7"/>
      <c r="G347" s="47">
        <v>5.0</v>
      </c>
      <c r="H347" s="7"/>
      <c r="I347" s="7"/>
      <c r="J347" s="7"/>
      <c r="K347" s="7"/>
      <c r="L347" s="7"/>
      <c r="M347" s="47">
        <v>1.0</v>
      </c>
      <c r="N347" s="7"/>
      <c r="O347" s="7"/>
      <c r="P347" s="7"/>
      <c r="Q347" s="7"/>
      <c r="R347" s="7"/>
      <c r="S347" s="7"/>
      <c r="T347" s="7"/>
      <c r="U347" s="7"/>
      <c r="V347" s="48">
        <f t="shared" si="129"/>
        <v>1</v>
      </c>
      <c r="W347" s="48">
        <f t="shared" si="130"/>
        <v>6</v>
      </c>
      <c r="X347" s="48">
        <f t="shared" si="131"/>
        <v>7</v>
      </c>
      <c r="Y347" s="49">
        <f t="shared" si="132"/>
        <v>4025000</v>
      </c>
      <c r="Z347" s="4"/>
      <c r="AA347" s="4"/>
      <c r="AB347" s="4"/>
      <c r="AC347" s="3"/>
      <c r="AD347" s="3"/>
      <c r="AE347" s="2"/>
      <c r="AF347" s="3"/>
      <c r="AG347" s="3"/>
      <c r="AH347" s="3"/>
      <c r="AI347" s="2"/>
      <c r="AJ347" s="2"/>
      <c r="AK347" s="2"/>
      <c r="AL347" s="2"/>
      <c r="AM347" s="2"/>
      <c r="AN347" s="2"/>
      <c r="AO347" s="2"/>
      <c r="AP347" s="100"/>
      <c r="AQ347" s="2"/>
      <c r="AR347" s="2"/>
      <c r="AS347" s="3"/>
    </row>
    <row r="348">
      <c r="A348" s="7" t="s">
        <v>53</v>
      </c>
      <c r="B348" s="53">
        <v>262000.0</v>
      </c>
      <c r="C348" s="7"/>
      <c r="D348" s="47">
        <v>1.0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47">
        <v>1.0</v>
      </c>
      <c r="R348" s="7"/>
      <c r="S348" s="47">
        <v>1.0</v>
      </c>
      <c r="T348" s="7"/>
      <c r="U348" s="7"/>
      <c r="V348" s="48">
        <f t="shared" si="129"/>
        <v>1</v>
      </c>
      <c r="W348" s="48">
        <f t="shared" si="130"/>
        <v>2</v>
      </c>
      <c r="X348" s="48">
        <f t="shared" si="131"/>
        <v>3</v>
      </c>
      <c r="Y348" s="49">
        <f t="shared" si="132"/>
        <v>786000</v>
      </c>
      <c r="Z348" s="4"/>
      <c r="AA348" s="4"/>
      <c r="AB348" s="4"/>
      <c r="AC348" s="3"/>
      <c r="AD348" s="3"/>
      <c r="AE348" s="2"/>
      <c r="AF348" s="3"/>
      <c r="AG348" s="3"/>
      <c r="AH348" s="3"/>
      <c r="AI348" s="2"/>
      <c r="AJ348" s="2"/>
      <c r="AK348" s="2"/>
      <c r="AL348" s="2"/>
      <c r="AM348" s="2"/>
      <c r="AN348" s="2"/>
      <c r="AO348" s="2"/>
      <c r="AP348" s="100"/>
      <c r="AQ348" s="2"/>
      <c r="AR348" s="2"/>
      <c r="AS348" s="3"/>
    </row>
    <row r="349">
      <c r="A349" s="7" t="s">
        <v>55</v>
      </c>
      <c r="B349" s="53">
        <v>185000.0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47">
        <v>1.0</v>
      </c>
      <c r="T349" s="7"/>
      <c r="U349" s="7"/>
      <c r="V349" s="54" t="str">
        <f t="shared" si="129"/>
        <v/>
      </c>
      <c r="W349" s="48">
        <f t="shared" si="130"/>
        <v>1</v>
      </c>
      <c r="X349" s="48">
        <f t="shared" si="131"/>
        <v>1</v>
      </c>
      <c r="Y349" s="49">
        <f t="shared" si="132"/>
        <v>185000</v>
      </c>
      <c r="Z349" s="4"/>
      <c r="AA349" s="4"/>
      <c r="AB349" s="4"/>
      <c r="AC349" s="3"/>
      <c r="AD349" s="3"/>
      <c r="AE349" s="2"/>
      <c r="AF349" s="3"/>
      <c r="AG349" s="3"/>
      <c r="AH349" s="3"/>
      <c r="AI349" s="2"/>
      <c r="AJ349" s="2"/>
      <c r="AK349" s="2"/>
      <c r="AL349" s="2"/>
      <c r="AM349" s="2"/>
      <c r="AN349" s="2"/>
      <c r="AO349" s="2"/>
      <c r="AP349" s="100"/>
      <c r="AQ349" s="2"/>
      <c r="AR349" s="2"/>
      <c r="AS349" s="3"/>
    </row>
    <row r="350">
      <c r="A350" s="7" t="s">
        <v>57</v>
      </c>
      <c r="B350" s="53">
        <v>242000.0</v>
      </c>
      <c r="C350" s="7"/>
      <c r="D350" s="47">
        <v>1.0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47">
        <v>1.0</v>
      </c>
      <c r="R350" s="7"/>
      <c r="S350" s="47">
        <v>1.0</v>
      </c>
      <c r="T350" s="7"/>
      <c r="U350" s="7"/>
      <c r="V350" s="48">
        <f t="shared" si="129"/>
        <v>1</v>
      </c>
      <c r="W350" s="48">
        <f t="shared" si="130"/>
        <v>2</v>
      </c>
      <c r="X350" s="48">
        <f t="shared" si="131"/>
        <v>3</v>
      </c>
      <c r="Y350" s="49">
        <f t="shared" si="132"/>
        <v>726000</v>
      </c>
      <c r="Z350" s="4"/>
      <c r="AA350" s="4"/>
      <c r="AB350" s="4"/>
      <c r="AC350" s="3"/>
      <c r="AD350" s="3"/>
      <c r="AE350" s="2"/>
      <c r="AF350" s="3"/>
      <c r="AG350" s="3"/>
      <c r="AH350" s="3"/>
      <c r="AI350" s="2"/>
      <c r="AJ350" s="2"/>
      <c r="AK350" s="2"/>
      <c r="AL350" s="2"/>
      <c r="AM350" s="2"/>
      <c r="AN350" s="2"/>
      <c r="AO350" s="2"/>
      <c r="AP350" s="100"/>
      <c r="AQ350" s="2"/>
      <c r="AR350" s="2"/>
      <c r="AS350" s="3"/>
    </row>
    <row r="351">
      <c r="A351" s="7" t="s">
        <v>60</v>
      </c>
      <c r="B351" s="53">
        <v>202000.0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47">
        <v>1.0</v>
      </c>
      <c r="R351" s="7"/>
      <c r="S351" s="47">
        <v>1.0</v>
      </c>
      <c r="T351" s="7"/>
      <c r="U351" s="7"/>
      <c r="V351" s="54" t="str">
        <f t="shared" si="129"/>
        <v/>
      </c>
      <c r="W351" s="48">
        <f t="shared" si="130"/>
        <v>2</v>
      </c>
      <c r="X351" s="48">
        <f t="shared" si="131"/>
        <v>2</v>
      </c>
      <c r="Y351" s="49">
        <f t="shared" si="132"/>
        <v>404000</v>
      </c>
      <c r="Z351" s="4"/>
      <c r="AA351" s="4"/>
      <c r="AB351" s="4"/>
      <c r="AC351" s="3"/>
      <c r="AD351" s="3"/>
      <c r="AE351" s="2"/>
      <c r="AF351" s="3"/>
      <c r="AG351" s="3"/>
      <c r="AH351" s="3"/>
      <c r="AI351" s="2"/>
      <c r="AJ351" s="2"/>
      <c r="AK351" s="2"/>
      <c r="AL351" s="2"/>
      <c r="AM351" s="2"/>
      <c r="AN351" s="2"/>
      <c r="AO351" s="2"/>
      <c r="AP351" s="100"/>
      <c r="AQ351" s="2"/>
      <c r="AR351" s="2"/>
      <c r="AS351" s="3"/>
    </row>
    <row r="352">
      <c r="A352" s="7" t="s">
        <v>61</v>
      </c>
      <c r="B352" s="53">
        <v>175000.0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47">
        <v>1.0</v>
      </c>
      <c r="R352" s="7"/>
      <c r="S352" s="47">
        <v>1.0</v>
      </c>
      <c r="T352" s="7"/>
      <c r="U352" s="7"/>
      <c r="V352" s="54" t="str">
        <f t="shared" si="129"/>
        <v/>
      </c>
      <c r="W352" s="48">
        <f t="shared" si="130"/>
        <v>2</v>
      </c>
      <c r="X352" s="48">
        <f t="shared" si="131"/>
        <v>2</v>
      </c>
      <c r="Y352" s="49">
        <f t="shared" si="132"/>
        <v>350000</v>
      </c>
      <c r="Z352" s="4"/>
      <c r="AA352" s="4"/>
      <c r="AB352" s="4"/>
      <c r="AC352" s="3"/>
      <c r="AD352" s="3"/>
      <c r="AE352" s="2"/>
      <c r="AF352" s="3"/>
      <c r="AG352" s="3"/>
      <c r="AH352" s="3"/>
      <c r="AI352" s="2"/>
      <c r="AJ352" s="2"/>
      <c r="AK352" s="2"/>
      <c r="AL352" s="2"/>
      <c r="AM352" s="2"/>
      <c r="AN352" s="2"/>
      <c r="AO352" s="2"/>
      <c r="AP352" s="100"/>
      <c r="AQ352" s="2"/>
      <c r="AR352" s="2"/>
      <c r="AS352" s="3"/>
    </row>
    <row r="353">
      <c r="A353" s="7" t="s">
        <v>62</v>
      </c>
      <c r="B353" s="53">
        <v>233000.0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54" t="str">
        <f t="shared" si="129"/>
        <v/>
      </c>
      <c r="W353" s="48">
        <f t="shared" si="130"/>
        <v>0</v>
      </c>
      <c r="X353" s="48">
        <f t="shared" si="131"/>
        <v>0</v>
      </c>
      <c r="Y353" s="49">
        <f t="shared" si="132"/>
        <v>0</v>
      </c>
      <c r="Z353" s="4"/>
      <c r="AA353" s="4"/>
      <c r="AB353" s="4"/>
      <c r="AC353" s="3"/>
      <c r="AD353" s="3"/>
      <c r="AE353" s="2"/>
      <c r="AF353" s="3"/>
      <c r="AG353" s="3"/>
      <c r="AH353" s="3"/>
      <c r="AI353" s="2"/>
      <c r="AJ353" s="2"/>
      <c r="AK353" s="2"/>
      <c r="AL353" s="2"/>
      <c r="AM353" s="2"/>
      <c r="AN353" s="2"/>
      <c r="AO353" s="2"/>
      <c r="AP353" s="100"/>
      <c r="AQ353" s="2"/>
      <c r="AR353" s="2"/>
      <c r="AS353" s="3"/>
    </row>
    <row r="354">
      <c r="A354" s="7" t="s">
        <v>63</v>
      </c>
      <c r="B354" s="8"/>
      <c r="C354" s="7"/>
      <c r="D354" s="47">
        <f t="shared" ref="D354:W354" si="133">SUM(D344:D353)</f>
        <v>5</v>
      </c>
      <c r="E354" s="47">
        <f t="shared" si="133"/>
        <v>0</v>
      </c>
      <c r="F354" s="47">
        <f t="shared" si="133"/>
        <v>0</v>
      </c>
      <c r="G354" s="47">
        <f t="shared" si="133"/>
        <v>36</v>
      </c>
      <c r="H354" s="47">
        <f t="shared" si="133"/>
        <v>0</v>
      </c>
      <c r="I354" s="47">
        <f t="shared" si="133"/>
        <v>11</v>
      </c>
      <c r="J354" s="47">
        <f t="shared" si="133"/>
        <v>0</v>
      </c>
      <c r="K354" s="47">
        <f t="shared" si="133"/>
        <v>25</v>
      </c>
      <c r="L354" s="47">
        <f t="shared" si="133"/>
        <v>0</v>
      </c>
      <c r="M354" s="47">
        <f t="shared" si="133"/>
        <v>10</v>
      </c>
      <c r="N354" s="47">
        <f t="shared" si="133"/>
        <v>0</v>
      </c>
      <c r="O354" s="47">
        <f t="shared" si="133"/>
        <v>7</v>
      </c>
      <c r="P354" s="47">
        <f t="shared" si="133"/>
        <v>3</v>
      </c>
      <c r="Q354" s="47">
        <f t="shared" si="133"/>
        <v>8</v>
      </c>
      <c r="R354" s="47">
        <f t="shared" si="133"/>
        <v>0</v>
      </c>
      <c r="S354" s="47">
        <f t="shared" si="133"/>
        <v>5</v>
      </c>
      <c r="T354" s="47">
        <f t="shared" si="133"/>
        <v>0</v>
      </c>
      <c r="U354" s="47">
        <f t="shared" si="133"/>
        <v>0</v>
      </c>
      <c r="V354" s="101">
        <f t="shared" si="133"/>
        <v>5</v>
      </c>
      <c r="W354" s="101">
        <f t="shared" si="133"/>
        <v>102</v>
      </c>
      <c r="X354" s="48">
        <f t="shared" si="131"/>
        <v>107</v>
      </c>
      <c r="Y354" s="102">
        <f>SUM(Y344:Y353)</f>
        <v>38546000</v>
      </c>
      <c r="Z354" s="4"/>
      <c r="AA354" s="4"/>
      <c r="AB354" s="4"/>
      <c r="AC354" s="3"/>
      <c r="AD354" s="3"/>
      <c r="AE354" s="2"/>
      <c r="AF354" s="3"/>
      <c r="AG354" s="3"/>
      <c r="AH354" s="3"/>
      <c r="AI354" s="2"/>
      <c r="AJ354" s="2"/>
      <c r="AK354" s="2"/>
      <c r="AL354" s="2"/>
      <c r="AM354" s="2"/>
      <c r="AN354" s="2"/>
      <c r="AO354" s="2"/>
      <c r="AP354" s="100"/>
      <c r="AQ354" s="2"/>
      <c r="AR354" s="2"/>
      <c r="AS354" s="3"/>
    </row>
    <row r="355">
      <c r="A355" s="7" t="s">
        <v>64</v>
      </c>
      <c r="B355" s="8"/>
      <c r="C355" s="7"/>
      <c r="D355" s="7"/>
      <c r="E355" s="7"/>
      <c r="F355" s="7"/>
      <c r="G355" s="47">
        <f>G354-H354</f>
        <v>36</v>
      </c>
      <c r="H355" s="7"/>
      <c r="I355" s="47">
        <f>I354-J354</f>
        <v>11</v>
      </c>
      <c r="J355" s="7"/>
      <c r="K355" s="47">
        <f>K354-L354</f>
        <v>25</v>
      </c>
      <c r="L355" s="7"/>
      <c r="M355" s="47">
        <f>M354-N354</f>
        <v>10</v>
      </c>
      <c r="N355" s="7"/>
      <c r="O355" s="47">
        <f>O354-P354</f>
        <v>4</v>
      </c>
      <c r="P355" s="7"/>
      <c r="Q355" s="47">
        <f>Q354-R354</f>
        <v>8</v>
      </c>
      <c r="R355" s="7"/>
      <c r="S355" s="47">
        <f>S354-T354</f>
        <v>5</v>
      </c>
      <c r="T355" s="7"/>
      <c r="U355" s="7"/>
      <c r="V355" s="54"/>
      <c r="W355" s="54"/>
      <c r="X355" s="48">
        <f>sum(X344:X354)</f>
        <v>214</v>
      </c>
      <c r="Y355" s="55"/>
      <c r="Z355" s="4"/>
      <c r="AA355" s="4"/>
      <c r="AB355" s="4"/>
      <c r="AC355" s="3"/>
      <c r="AD355" s="3"/>
      <c r="AE355" s="2"/>
      <c r="AF355" s="3"/>
      <c r="AG355" s="3"/>
      <c r="AH355" s="3"/>
      <c r="AI355" s="2"/>
      <c r="AJ355" s="2"/>
      <c r="AK355" s="2"/>
      <c r="AL355" s="2"/>
      <c r="AM355" s="2"/>
      <c r="AN355" s="2"/>
      <c r="AO355" s="2"/>
      <c r="AP355" s="100"/>
      <c r="AQ355" s="2"/>
      <c r="AR355" s="2"/>
      <c r="AS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/>
      <c r="AA356" s="4"/>
      <c r="AB356" s="4"/>
      <c r="AC356" s="3"/>
      <c r="AD356" s="3"/>
      <c r="AE356" s="2"/>
      <c r="AF356" s="3"/>
      <c r="AG356" s="3"/>
      <c r="AH356" s="3"/>
      <c r="AI356" s="2"/>
      <c r="AJ356" s="2"/>
      <c r="AK356" s="2"/>
      <c r="AL356" s="2"/>
      <c r="AM356" s="2"/>
      <c r="AN356" s="2"/>
      <c r="AO356" s="2"/>
      <c r="AP356" s="100"/>
      <c r="AQ356" s="2"/>
      <c r="AR356" s="2"/>
      <c r="AS356" s="3"/>
    </row>
    <row r="357">
      <c r="A357" s="7"/>
      <c r="B357" s="8"/>
      <c r="C357" s="7"/>
      <c r="D357" s="9">
        <v>46015.0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  <c r="X357" s="6"/>
      <c r="Y357" s="6"/>
      <c r="Z357" s="4"/>
      <c r="AA357" s="4"/>
      <c r="AB357" s="4"/>
      <c r="AC357" s="3"/>
      <c r="AD357" s="3"/>
      <c r="AE357" s="2"/>
      <c r="AF357" s="3"/>
      <c r="AG357" s="3"/>
      <c r="AH357" s="3"/>
      <c r="AI357" s="2"/>
      <c r="AJ357" s="2"/>
      <c r="AK357" s="2"/>
      <c r="AL357" s="2"/>
      <c r="AM357" s="2"/>
      <c r="AN357" s="2"/>
      <c r="AO357" s="2"/>
      <c r="AP357" s="100"/>
      <c r="AQ357" s="2"/>
      <c r="AR357" s="2"/>
      <c r="AS357" s="3"/>
    </row>
    <row r="358">
      <c r="A358" s="70" t="s">
        <v>6</v>
      </c>
      <c r="B358" s="34" t="b">
        <v>0</v>
      </c>
      <c r="C358" s="7"/>
      <c r="D358" s="71" t="s">
        <v>7</v>
      </c>
      <c r="E358" s="11"/>
      <c r="F358" s="7"/>
      <c r="G358" s="71" t="s">
        <v>8</v>
      </c>
      <c r="H358" s="11"/>
      <c r="I358" s="71" t="s">
        <v>9</v>
      </c>
      <c r="J358" s="11"/>
      <c r="K358" s="71" t="s">
        <v>10</v>
      </c>
      <c r="L358" s="11"/>
      <c r="M358" s="71" t="s">
        <v>11</v>
      </c>
      <c r="N358" s="11"/>
      <c r="O358" s="71" t="s">
        <v>12</v>
      </c>
      <c r="P358" s="11"/>
      <c r="Q358" s="71" t="s">
        <v>91</v>
      </c>
      <c r="R358" s="11"/>
      <c r="S358" s="71" t="s">
        <v>14</v>
      </c>
      <c r="T358" s="11"/>
      <c r="U358" s="35" t="s">
        <v>15</v>
      </c>
      <c r="V358" s="73" t="s">
        <v>16</v>
      </c>
      <c r="W358" s="10"/>
      <c r="X358" s="10"/>
      <c r="Y358" s="11"/>
      <c r="Z358" s="4"/>
      <c r="AA358" s="4"/>
      <c r="AB358" s="4"/>
      <c r="AC358" s="3"/>
      <c r="AD358" s="3"/>
      <c r="AE358" s="2"/>
      <c r="AF358" s="3"/>
      <c r="AG358" s="3"/>
      <c r="AH358" s="3"/>
      <c r="AI358" s="2"/>
      <c r="AJ358" s="2"/>
      <c r="AK358" s="2"/>
      <c r="AL358" s="2"/>
      <c r="AM358" s="2"/>
      <c r="AN358" s="2"/>
      <c r="AO358" s="2"/>
      <c r="AP358" s="100"/>
      <c r="AQ358" s="2"/>
      <c r="AR358" s="2"/>
      <c r="AS358" s="3"/>
    </row>
    <row r="359">
      <c r="A359" s="7"/>
      <c r="B359" s="34" t="s">
        <v>28</v>
      </c>
      <c r="C359" s="35" t="s">
        <v>29</v>
      </c>
      <c r="D359" s="35" t="s">
        <v>30</v>
      </c>
      <c r="E359" s="35" t="s">
        <v>31</v>
      </c>
      <c r="F359" s="35" t="s">
        <v>32</v>
      </c>
      <c r="G359" s="35" t="s">
        <v>33</v>
      </c>
      <c r="H359" s="35" t="s">
        <v>31</v>
      </c>
      <c r="I359" s="35" t="s">
        <v>33</v>
      </c>
      <c r="J359" s="35" t="s">
        <v>31</v>
      </c>
      <c r="K359" s="35" t="s">
        <v>33</v>
      </c>
      <c r="L359" s="35" t="s">
        <v>31</v>
      </c>
      <c r="M359" s="35" t="s">
        <v>33</v>
      </c>
      <c r="N359" s="35" t="s">
        <v>31</v>
      </c>
      <c r="O359" s="35" t="s">
        <v>33</v>
      </c>
      <c r="P359" s="35" t="s">
        <v>31</v>
      </c>
      <c r="Q359" s="35" t="s">
        <v>33</v>
      </c>
      <c r="R359" s="35" t="s">
        <v>31</v>
      </c>
      <c r="S359" s="35" t="s">
        <v>33</v>
      </c>
      <c r="T359" s="35" t="s">
        <v>31</v>
      </c>
      <c r="U359" s="35" t="s">
        <v>34</v>
      </c>
      <c r="V359" s="36" t="s">
        <v>7</v>
      </c>
      <c r="W359" s="36" t="s">
        <v>35</v>
      </c>
      <c r="X359" s="36" t="s">
        <v>36</v>
      </c>
      <c r="Y359" s="36" t="s">
        <v>37</v>
      </c>
      <c r="Z359" s="4"/>
      <c r="AA359" s="4"/>
      <c r="AB359" s="4"/>
      <c r="AC359" s="3"/>
      <c r="AD359" s="3"/>
      <c r="AE359" s="2"/>
      <c r="AF359" s="3"/>
      <c r="AG359" s="3"/>
      <c r="AH359" s="3"/>
      <c r="AI359" s="2"/>
      <c r="AJ359" s="2"/>
      <c r="AK359" s="2"/>
      <c r="AL359" s="2"/>
      <c r="AM359" s="2"/>
      <c r="AN359" s="2"/>
      <c r="AO359" s="2"/>
      <c r="AP359" s="100"/>
      <c r="AQ359" s="2"/>
      <c r="AR359" s="2"/>
      <c r="AS359" s="3"/>
    </row>
    <row r="360">
      <c r="A360" s="7" t="s">
        <v>42</v>
      </c>
      <c r="B360" s="46">
        <v>335000.0</v>
      </c>
      <c r="C360" s="7"/>
      <c r="D360" s="47">
        <v>1.0</v>
      </c>
      <c r="E360" s="7"/>
      <c r="F360" s="7"/>
      <c r="G360" s="47">
        <v>13.0</v>
      </c>
      <c r="H360" s="7"/>
      <c r="I360" s="47">
        <v>8.0</v>
      </c>
      <c r="J360" s="7"/>
      <c r="K360" s="47">
        <v>22.0</v>
      </c>
      <c r="L360" s="7"/>
      <c r="M360" s="47">
        <v>6.0</v>
      </c>
      <c r="N360" s="7"/>
      <c r="O360" s="47">
        <v>3.0</v>
      </c>
      <c r="P360" s="7"/>
      <c r="Q360" s="47">
        <v>1.0</v>
      </c>
      <c r="R360" s="7"/>
      <c r="S360" s="7"/>
      <c r="T360" s="7"/>
      <c r="U360" s="7"/>
      <c r="V360" s="48">
        <f t="shared" ref="V360:V369" si="134">D360</f>
        <v>1</v>
      </c>
      <c r="W360" s="48">
        <f t="shared" ref="W360:W369" si="135">G360+I360+K360+M360+O360+Q360+S360</f>
        <v>53</v>
      </c>
      <c r="X360" s="48">
        <f t="shared" ref="X360:X370" si="136">V360+W360</f>
        <v>54</v>
      </c>
      <c r="Y360" s="49">
        <f t="shared" ref="Y360:Y369" si="137">B360*X360</f>
        <v>18090000</v>
      </c>
      <c r="Z360" s="4"/>
      <c r="AA360" s="4"/>
      <c r="AB360" s="4"/>
      <c r="AC360" s="3"/>
      <c r="AD360" s="3"/>
      <c r="AE360" s="2"/>
      <c r="AF360" s="3"/>
      <c r="AG360" s="3"/>
      <c r="AH360" s="3"/>
      <c r="AI360" s="2"/>
      <c r="AJ360" s="2"/>
      <c r="AK360" s="2"/>
      <c r="AL360" s="2"/>
      <c r="AM360" s="2"/>
      <c r="AN360" s="2"/>
      <c r="AO360" s="2"/>
      <c r="AP360" s="100"/>
      <c r="AQ360" s="2"/>
      <c r="AR360" s="2"/>
      <c r="AS360" s="3"/>
    </row>
    <row r="361">
      <c r="A361" s="7" t="s">
        <v>45</v>
      </c>
      <c r="B361" s="13">
        <v>395000.0</v>
      </c>
      <c r="C361" s="6"/>
      <c r="D361" s="7"/>
      <c r="E361" s="7"/>
      <c r="F361" s="7"/>
      <c r="G361" s="47">
        <v>17.0</v>
      </c>
      <c r="H361" s="7"/>
      <c r="I361" s="47">
        <v>3.0</v>
      </c>
      <c r="J361" s="7"/>
      <c r="K361" s="7"/>
      <c r="L361" s="7"/>
      <c r="M361" s="47">
        <v>3.0</v>
      </c>
      <c r="N361" s="7"/>
      <c r="O361" s="47">
        <v>1.0</v>
      </c>
      <c r="P361" s="7"/>
      <c r="Q361" s="47">
        <v>3.0</v>
      </c>
      <c r="R361" s="7"/>
      <c r="S361" s="7"/>
      <c r="T361" s="7"/>
      <c r="U361" s="7"/>
      <c r="V361" s="54" t="str">
        <f t="shared" si="134"/>
        <v/>
      </c>
      <c r="W361" s="48">
        <f t="shared" si="135"/>
        <v>27</v>
      </c>
      <c r="X361" s="48">
        <f t="shared" si="136"/>
        <v>27</v>
      </c>
      <c r="Y361" s="49">
        <f t="shared" si="137"/>
        <v>10665000</v>
      </c>
      <c r="Z361" s="4"/>
      <c r="AA361" s="4"/>
      <c r="AB361" s="4"/>
      <c r="AC361" s="3"/>
      <c r="AD361" s="3"/>
      <c r="AE361" s="2"/>
      <c r="AF361" s="3"/>
      <c r="AG361" s="3"/>
      <c r="AH361" s="3"/>
      <c r="AI361" s="2"/>
      <c r="AJ361" s="2"/>
      <c r="AK361" s="2"/>
      <c r="AL361" s="2"/>
      <c r="AM361" s="2"/>
      <c r="AN361" s="2"/>
      <c r="AO361" s="2"/>
      <c r="AP361" s="100"/>
      <c r="AQ361" s="2"/>
      <c r="AR361" s="2"/>
      <c r="AS361" s="3"/>
    </row>
    <row r="362">
      <c r="A362" s="7" t="s">
        <v>48</v>
      </c>
      <c r="B362" s="46">
        <v>450000.0</v>
      </c>
      <c r="C362" s="7"/>
      <c r="D362" s="47">
        <v>1.0</v>
      </c>
      <c r="E362" s="7"/>
      <c r="F362" s="7"/>
      <c r="G362" s="47">
        <v>1.0</v>
      </c>
      <c r="H362" s="7"/>
      <c r="I362" s="7"/>
      <c r="J362" s="7"/>
      <c r="K362" s="47">
        <v>3.0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48">
        <f t="shared" si="134"/>
        <v>1</v>
      </c>
      <c r="W362" s="48">
        <f t="shared" si="135"/>
        <v>4</v>
      </c>
      <c r="X362" s="48">
        <f t="shared" si="136"/>
        <v>5</v>
      </c>
      <c r="Y362" s="49">
        <f t="shared" si="137"/>
        <v>2250000</v>
      </c>
      <c r="Z362" s="4"/>
      <c r="AA362" s="4"/>
      <c r="AB362" s="4"/>
      <c r="AC362" s="3"/>
      <c r="AD362" s="3"/>
      <c r="AE362" s="2"/>
      <c r="AF362" s="3"/>
      <c r="AG362" s="3"/>
      <c r="AH362" s="3"/>
      <c r="AI362" s="2"/>
      <c r="AJ362" s="2"/>
      <c r="AK362" s="2"/>
      <c r="AL362" s="2"/>
      <c r="AM362" s="2"/>
      <c r="AN362" s="2"/>
      <c r="AO362" s="2"/>
      <c r="AP362" s="100"/>
      <c r="AQ362" s="2"/>
      <c r="AR362" s="2"/>
      <c r="AS362" s="3"/>
    </row>
    <row r="363">
      <c r="A363" s="7" t="s">
        <v>50</v>
      </c>
      <c r="B363" s="46">
        <v>575000.0</v>
      </c>
      <c r="C363" s="7"/>
      <c r="D363" s="47">
        <v>1.0</v>
      </c>
      <c r="E363" s="7"/>
      <c r="F363" s="7"/>
      <c r="G363" s="47">
        <v>5.0</v>
      </c>
      <c r="H363" s="7"/>
      <c r="I363" s="7"/>
      <c r="J363" s="7"/>
      <c r="K363" s="7"/>
      <c r="L363" s="7"/>
      <c r="M363" s="47">
        <v>1.0</v>
      </c>
      <c r="N363" s="7"/>
      <c r="O363" s="7"/>
      <c r="P363" s="7"/>
      <c r="Q363" s="7"/>
      <c r="R363" s="7"/>
      <c r="S363" s="7"/>
      <c r="T363" s="7"/>
      <c r="U363" s="7"/>
      <c r="V363" s="48">
        <f t="shared" si="134"/>
        <v>1</v>
      </c>
      <c r="W363" s="48">
        <f t="shared" si="135"/>
        <v>6</v>
      </c>
      <c r="X363" s="48">
        <f t="shared" si="136"/>
        <v>7</v>
      </c>
      <c r="Y363" s="49">
        <f t="shared" si="137"/>
        <v>4025000</v>
      </c>
      <c r="Z363" s="4"/>
      <c r="AA363" s="4"/>
      <c r="AB363" s="4"/>
      <c r="AC363" s="3"/>
      <c r="AD363" s="3"/>
      <c r="AE363" s="2"/>
      <c r="AF363" s="3"/>
      <c r="AG363" s="3"/>
      <c r="AH363" s="3"/>
      <c r="AI363" s="2"/>
      <c r="AJ363" s="2"/>
      <c r="AK363" s="2"/>
      <c r="AL363" s="2"/>
      <c r="AM363" s="2"/>
      <c r="AN363" s="2"/>
      <c r="AO363" s="2"/>
      <c r="AP363" s="100"/>
      <c r="AQ363" s="2"/>
      <c r="AR363" s="2"/>
      <c r="AS363" s="3"/>
    </row>
    <row r="364">
      <c r="A364" s="7" t="s">
        <v>53</v>
      </c>
      <c r="B364" s="53">
        <v>262000.0</v>
      </c>
      <c r="C364" s="7"/>
      <c r="D364" s="47">
        <v>1.0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47">
        <v>1.0</v>
      </c>
      <c r="R364" s="7"/>
      <c r="S364" s="47">
        <v>1.0</v>
      </c>
      <c r="T364" s="7"/>
      <c r="U364" s="7"/>
      <c r="V364" s="48">
        <f t="shared" si="134"/>
        <v>1</v>
      </c>
      <c r="W364" s="48">
        <f t="shared" si="135"/>
        <v>2</v>
      </c>
      <c r="X364" s="48">
        <f t="shared" si="136"/>
        <v>3</v>
      </c>
      <c r="Y364" s="49">
        <f t="shared" si="137"/>
        <v>786000</v>
      </c>
      <c r="Z364" s="4"/>
      <c r="AA364" s="4"/>
      <c r="AB364" s="4"/>
      <c r="AC364" s="3"/>
      <c r="AD364" s="3"/>
      <c r="AE364" s="2"/>
      <c r="AF364" s="3"/>
      <c r="AG364" s="3"/>
      <c r="AH364" s="3"/>
      <c r="AI364" s="2"/>
      <c r="AJ364" s="2"/>
      <c r="AK364" s="2"/>
      <c r="AL364" s="2"/>
      <c r="AM364" s="2"/>
      <c r="AN364" s="2"/>
      <c r="AO364" s="2"/>
      <c r="AP364" s="100"/>
      <c r="AQ364" s="2"/>
      <c r="AR364" s="2"/>
      <c r="AS364" s="3"/>
    </row>
    <row r="365">
      <c r="A365" s="7" t="s">
        <v>55</v>
      </c>
      <c r="B365" s="53">
        <v>185000.0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47">
        <v>1.0</v>
      </c>
      <c r="T365" s="7"/>
      <c r="U365" s="7"/>
      <c r="V365" s="54" t="str">
        <f t="shared" si="134"/>
        <v/>
      </c>
      <c r="W365" s="48">
        <f t="shared" si="135"/>
        <v>1</v>
      </c>
      <c r="X365" s="48">
        <f t="shared" si="136"/>
        <v>1</v>
      </c>
      <c r="Y365" s="49">
        <f t="shared" si="137"/>
        <v>185000</v>
      </c>
      <c r="Z365" s="4"/>
      <c r="AA365" s="4"/>
      <c r="AB365" s="4"/>
      <c r="AC365" s="3"/>
      <c r="AD365" s="3"/>
      <c r="AE365" s="2"/>
      <c r="AF365" s="3"/>
      <c r="AG365" s="3"/>
      <c r="AH365" s="3"/>
      <c r="AI365" s="2"/>
      <c r="AJ365" s="2"/>
      <c r="AK365" s="2"/>
      <c r="AL365" s="2"/>
      <c r="AM365" s="2"/>
      <c r="AN365" s="2"/>
      <c r="AO365" s="2"/>
      <c r="AP365" s="100"/>
      <c r="AQ365" s="2"/>
      <c r="AR365" s="2"/>
      <c r="AS365" s="3"/>
    </row>
    <row r="366">
      <c r="A366" s="7" t="s">
        <v>57</v>
      </c>
      <c r="B366" s="53">
        <v>242000.0</v>
      </c>
      <c r="C366" s="7"/>
      <c r="D366" s="47">
        <v>1.0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47">
        <v>1.0</v>
      </c>
      <c r="R366" s="7"/>
      <c r="S366" s="47">
        <v>1.0</v>
      </c>
      <c r="T366" s="7"/>
      <c r="U366" s="7"/>
      <c r="V366" s="48">
        <f t="shared" si="134"/>
        <v>1</v>
      </c>
      <c r="W366" s="48">
        <f t="shared" si="135"/>
        <v>2</v>
      </c>
      <c r="X366" s="48">
        <f t="shared" si="136"/>
        <v>3</v>
      </c>
      <c r="Y366" s="49">
        <f t="shared" si="137"/>
        <v>726000</v>
      </c>
      <c r="Z366" s="4"/>
      <c r="AA366" s="4"/>
      <c r="AB366" s="4"/>
      <c r="AC366" s="3"/>
      <c r="AD366" s="3"/>
      <c r="AE366" s="2"/>
      <c r="AF366" s="3"/>
      <c r="AG366" s="3"/>
      <c r="AH366" s="3"/>
      <c r="AI366" s="2"/>
      <c r="AJ366" s="2"/>
      <c r="AK366" s="2"/>
      <c r="AL366" s="2"/>
      <c r="AM366" s="2"/>
      <c r="AN366" s="2"/>
      <c r="AO366" s="2"/>
      <c r="AP366" s="100"/>
      <c r="AQ366" s="2"/>
      <c r="AR366" s="2"/>
      <c r="AS366" s="3"/>
    </row>
    <row r="367">
      <c r="A367" s="7" t="s">
        <v>60</v>
      </c>
      <c r="B367" s="53">
        <v>202000.0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47">
        <v>1.0</v>
      </c>
      <c r="R367" s="7"/>
      <c r="S367" s="47">
        <v>1.0</v>
      </c>
      <c r="T367" s="7"/>
      <c r="U367" s="7"/>
      <c r="V367" s="54" t="str">
        <f t="shared" si="134"/>
        <v/>
      </c>
      <c r="W367" s="48">
        <f t="shared" si="135"/>
        <v>2</v>
      </c>
      <c r="X367" s="48">
        <f t="shared" si="136"/>
        <v>2</v>
      </c>
      <c r="Y367" s="49">
        <f t="shared" si="137"/>
        <v>404000</v>
      </c>
      <c r="Z367" s="4"/>
      <c r="AA367" s="4"/>
      <c r="AB367" s="4"/>
      <c r="AC367" s="3"/>
      <c r="AD367" s="3"/>
      <c r="AE367" s="2"/>
      <c r="AF367" s="3"/>
      <c r="AG367" s="3"/>
      <c r="AH367" s="3"/>
      <c r="AI367" s="2"/>
      <c r="AJ367" s="2"/>
      <c r="AK367" s="2"/>
      <c r="AL367" s="2"/>
      <c r="AM367" s="2"/>
      <c r="AN367" s="2"/>
      <c r="AO367" s="2"/>
      <c r="AP367" s="100"/>
      <c r="AQ367" s="2"/>
      <c r="AR367" s="2"/>
      <c r="AS367" s="3"/>
    </row>
    <row r="368">
      <c r="A368" s="7" t="s">
        <v>61</v>
      </c>
      <c r="B368" s="53">
        <v>175000.0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47">
        <v>1.0</v>
      </c>
      <c r="R368" s="7"/>
      <c r="S368" s="47">
        <v>1.0</v>
      </c>
      <c r="T368" s="7"/>
      <c r="U368" s="7"/>
      <c r="V368" s="54" t="str">
        <f t="shared" si="134"/>
        <v/>
      </c>
      <c r="W368" s="48">
        <f t="shared" si="135"/>
        <v>2</v>
      </c>
      <c r="X368" s="48">
        <f t="shared" si="136"/>
        <v>2</v>
      </c>
      <c r="Y368" s="49">
        <f t="shared" si="137"/>
        <v>350000</v>
      </c>
      <c r="Z368" s="4"/>
      <c r="AA368" s="4"/>
      <c r="AB368" s="4"/>
      <c r="AC368" s="3"/>
      <c r="AD368" s="3"/>
      <c r="AE368" s="2"/>
      <c r="AF368" s="3"/>
      <c r="AG368" s="3"/>
      <c r="AH368" s="3"/>
      <c r="AI368" s="2"/>
      <c r="AJ368" s="2"/>
      <c r="AK368" s="2"/>
      <c r="AL368" s="2"/>
      <c r="AM368" s="2"/>
      <c r="AN368" s="2"/>
      <c r="AO368" s="2"/>
      <c r="AP368" s="100"/>
      <c r="AQ368" s="2"/>
      <c r="AR368" s="2"/>
      <c r="AS368" s="3"/>
    </row>
    <row r="369">
      <c r="A369" s="7" t="s">
        <v>62</v>
      </c>
      <c r="B369" s="53">
        <v>233000.0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54" t="str">
        <f t="shared" si="134"/>
        <v/>
      </c>
      <c r="W369" s="48">
        <f t="shared" si="135"/>
        <v>0</v>
      </c>
      <c r="X369" s="48">
        <f t="shared" si="136"/>
        <v>0</v>
      </c>
      <c r="Y369" s="49">
        <f t="shared" si="137"/>
        <v>0</v>
      </c>
      <c r="Z369" s="4"/>
      <c r="AA369" s="4"/>
      <c r="AB369" s="4"/>
      <c r="AC369" s="3"/>
      <c r="AD369" s="3"/>
      <c r="AE369" s="2"/>
      <c r="AF369" s="3"/>
      <c r="AG369" s="3"/>
      <c r="AH369" s="3"/>
      <c r="AI369" s="2"/>
      <c r="AJ369" s="2"/>
      <c r="AK369" s="2"/>
      <c r="AL369" s="2"/>
      <c r="AM369" s="2"/>
      <c r="AN369" s="2"/>
      <c r="AO369" s="2"/>
      <c r="AP369" s="100"/>
      <c r="AQ369" s="2"/>
      <c r="AR369" s="2"/>
      <c r="AS369" s="3"/>
    </row>
    <row r="370">
      <c r="A370" s="7" t="s">
        <v>63</v>
      </c>
      <c r="B370" s="8"/>
      <c r="C370" s="7"/>
      <c r="D370" s="47">
        <f t="shared" ref="D370:W370" si="138">SUM(D360:D369)</f>
        <v>5</v>
      </c>
      <c r="E370" s="47">
        <f t="shared" si="138"/>
        <v>0</v>
      </c>
      <c r="F370" s="47">
        <f t="shared" si="138"/>
        <v>0</v>
      </c>
      <c r="G370" s="47">
        <f t="shared" si="138"/>
        <v>36</v>
      </c>
      <c r="H370" s="47">
        <f t="shared" si="138"/>
        <v>0</v>
      </c>
      <c r="I370" s="47">
        <f t="shared" si="138"/>
        <v>11</v>
      </c>
      <c r="J370" s="47">
        <f t="shared" si="138"/>
        <v>0</v>
      </c>
      <c r="K370" s="47">
        <f t="shared" si="138"/>
        <v>25</v>
      </c>
      <c r="L370" s="47">
        <f t="shared" si="138"/>
        <v>0</v>
      </c>
      <c r="M370" s="47">
        <f t="shared" si="138"/>
        <v>10</v>
      </c>
      <c r="N370" s="47">
        <f t="shared" si="138"/>
        <v>0</v>
      </c>
      <c r="O370" s="47">
        <f t="shared" si="138"/>
        <v>4</v>
      </c>
      <c r="P370" s="47">
        <f t="shared" si="138"/>
        <v>0</v>
      </c>
      <c r="Q370" s="47">
        <f t="shared" si="138"/>
        <v>8</v>
      </c>
      <c r="R370" s="47">
        <f t="shared" si="138"/>
        <v>0</v>
      </c>
      <c r="S370" s="47">
        <f t="shared" si="138"/>
        <v>5</v>
      </c>
      <c r="T370" s="47">
        <f t="shared" si="138"/>
        <v>0</v>
      </c>
      <c r="U370" s="47">
        <f t="shared" si="138"/>
        <v>0</v>
      </c>
      <c r="V370" s="101">
        <f t="shared" si="138"/>
        <v>5</v>
      </c>
      <c r="W370" s="101">
        <f t="shared" si="138"/>
        <v>99</v>
      </c>
      <c r="X370" s="48">
        <f t="shared" si="136"/>
        <v>104</v>
      </c>
      <c r="Y370" s="102">
        <f>SUM(Y360:Y369)</f>
        <v>37481000</v>
      </c>
      <c r="Z370" s="4"/>
      <c r="AA370" s="4"/>
      <c r="AB370" s="4"/>
      <c r="AC370" s="3"/>
      <c r="AD370" s="3"/>
      <c r="AE370" s="2"/>
      <c r="AF370" s="3"/>
      <c r="AG370" s="3"/>
      <c r="AH370" s="3"/>
      <c r="AI370" s="2"/>
      <c r="AJ370" s="2"/>
      <c r="AK370" s="2"/>
      <c r="AL370" s="2"/>
      <c r="AM370" s="2"/>
      <c r="AN370" s="2"/>
      <c r="AO370" s="2"/>
      <c r="AP370" s="100"/>
      <c r="AQ370" s="2"/>
      <c r="AR370" s="2"/>
      <c r="AS370" s="3"/>
    </row>
    <row r="371">
      <c r="A371" s="7" t="s">
        <v>64</v>
      </c>
      <c r="B371" s="8"/>
      <c r="C371" s="7"/>
      <c r="D371" s="7"/>
      <c r="E371" s="7"/>
      <c r="F371" s="7"/>
      <c r="G371" s="47">
        <f>G370-H370</f>
        <v>36</v>
      </c>
      <c r="H371" s="7"/>
      <c r="I371" s="47">
        <f>I370-J370</f>
        <v>11</v>
      </c>
      <c r="J371" s="7"/>
      <c r="K371" s="47">
        <f>K370-L370</f>
        <v>25</v>
      </c>
      <c r="L371" s="7"/>
      <c r="M371" s="47">
        <f>M370-N370</f>
        <v>10</v>
      </c>
      <c r="N371" s="7"/>
      <c r="O371" s="47">
        <f>O370-P370</f>
        <v>4</v>
      </c>
      <c r="P371" s="7"/>
      <c r="Q371" s="47">
        <f>Q370-R370</f>
        <v>8</v>
      </c>
      <c r="R371" s="7"/>
      <c r="S371" s="47">
        <f>S370-T370</f>
        <v>5</v>
      </c>
      <c r="T371" s="7"/>
      <c r="U371" s="7"/>
      <c r="V371" s="54"/>
      <c r="W371" s="54"/>
      <c r="X371" s="48">
        <f>sum(X360:X370)</f>
        <v>208</v>
      </c>
      <c r="Y371" s="55"/>
      <c r="Z371" s="4"/>
      <c r="AA371" s="4"/>
      <c r="AB371" s="4"/>
      <c r="AC371" s="3"/>
      <c r="AD371" s="3"/>
      <c r="AE371" s="2"/>
      <c r="AF371" s="3"/>
      <c r="AG371" s="3"/>
      <c r="AH371" s="3"/>
      <c r="AI371" s="2"/>
      <c r="AJ371" s="2"/>
      <c r="AK371" s="2"/>
      <c r="AL371" s="2"/>
      <c r="AM371" s="2"/>
      <c r="AN371" s="2"/>
      <c r="AO371" s="2"/>
      <c r="AP371" s="100"/>
      <c r="AQ371" s="2"/>
      <c r="AR371" s="2"/>
      <c r="AS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/>
      <c r="AA372" s="4"/>
      <c r="AB372" s="4"/>
      <c r="AC372" s="3"/>
      <c r="AD372" s="3"/>
      <c r="AE372" s="2"/>
      <c r="AF372" s="3"/>
      <c r="AG372" s="3"/>
      <c r="AH372" s="3"/>
      <c r="AI372" s="2"/>
      <c r="AJ372" s="2"/>
      <c r="AK372" s="2"/>
      <c r="AL372" s="2"/>
      <c r="AM372" s="2"/>
      <c r="AN372" s="2"/>
      <c r="AO372" s="2"/>
      <c r="AP372" s="100"/>
      <c r="AQ372" s="2"/>
      <c r="AR372" s="2"/>
      <c r="AS372" s="3"/>
    </row>
    <row r="373">
      <c r="A373" s="7"/>
      <c r="B373" s="8"/>
      <c r="C373" s="7"/>
      <c r="D373" s="9">
        <v>46016.0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  <c r="X373" s="6"/>
      <c r="Y373" s="6"/>
      <c r="Z373" s="4"/>
      <c r="AA373" s="4"/>
      <c r="AB373" s="4"/>
      <c r="AC373" s="3"/>
      <c r="AD373" s="3"/>
      <c r="AE373" s="2"/>
      <c r="AF373" s="3"/>
      <c r="AG373" s="3"/>
      <c r="AH373" s="3"/>
      <c r="AI373" s="2"/>
      <c r="AJ373" s="2"/>
      <c r="AK373" s="2"/>
      <c r="AL373" s="2"/>
      <c r="AM373" s="2"/>
      <c r="AN373" s="2"/>
      <c r="AO373" s="2"/>
      <c r="AP373" s="100"/>
      <c r="AQ373" s="2"/>
      <c r="AR373" s="2"/>
      <c r="AS373" s="3"/>
    </row>
    <row r="374">
      <c r="A374" s="70" t="s">
        <v>6</v>
      </c>
      <c r="B374" s="34" t="b">
        <v>0</v>
      </c>
      <c r="C374" s="7"/>
      <c r="D374" s="71" t="s">
        <v>7</v>
      </c>
      <c r="E374" s="11"/>
      <c r="F374" s="7"/>
      <c r="G374" s="71" t="s">
        <v>8</v>
      </c>
      <c r="H374" s="11"/>
      <c r="I374" s="71" t="s">
        <v>9</v>
      </c>
      <c r="J374" s="11"/>
      <c r="K374" s="71" t="s">
        <v>10</v>
      </c>
      <c r="L374" s="11"/>
      <c r="M374" s="71" t="s">
        <v>11</v>
      </c>
      <c r="N374" s="11"/>
      <c r="O374" s="71" t="s">
        <v>12</v>
      </c>
      <c r="P374" s="11"/>
      <c r="Q374" s="71" t="s">
        <v>13</v>
      </c>
      <c r="R374" s="11"/>
      <c r="S374" s="71" t="s">
        <v>14</v>
      </c>
      <c r="T374" s="11"/>
      <c r="U374" s="35" t="s">
        <v>15</v>
      </c>
      <c r="V374" s="73" t="s">
        <v>16</v>
      </c>
      <c r="W374" s="10"/>
      <c r="X374" s="10"/>
      <c r="Y374" s="11"/>
      <c r="Z374" s="4"/>
      <c r="AA374" s="4"/>
      <c r="AB374" s="4"/>
      <c r="AC374" s="3"/>
      <c r="AD374" s="3"/>
      <c r="AE374" s="2"/>
      <c r="AF374" s="3"/>
      <c r="AG374" s="3"/>
      <c r="AH374" s="3"/>
      <c r="AI374" s="2"/>
      <c r="AJ374" s="2"/>
      <c r="AK374" s="2"/>
      <c r="AL374" s="2"/>
      <c r="AM374" s="2"/>
      <c r="AN374" s="2"/>
      <c r="AO374" s="2"/>
      <c r="AP374" s="100"/>
      <c r="AQ374" s="2"/>
      <c r="AR374" s="2"/>
      <c r="AS374" s="3"/>
    </row>
    <row r="375">
      <c r="A375" s="7"/>
      <c r="B375" s="34" t="s">
        <v>28</v>
      </c>
      <c r="C375" s="35" t="s">
        <v>29</v>
      </c>
      <c r="D375" s="35" t="s">
        <v>30</v>
      </c>
      <c r="E375" s="35" t="s">
        <v>31</v>
      </c>
      <c r="F375" s="35" t="s">
        <v>32</v>
      </c>
      <c r="G375" s="35" t="s">
        <v>33</v>
      </c>
      <c r="H375" s="35" t="s">
        <v>31</v>
      </c>
      <c r="I375" s="35" t="s">
        <v>33</v>
      </c>
      <c r="J375" s="35" t="s">
        <v>31</v>
      </c>
      <c r="K375" s="35" t="s">
        <v>33</v>
      </c>
      <c r="L375" s="35" t="s">
        <v>31</v>
      </c>
      <c r="M375" s="35" t="s">
        <v>33</v>
      </c>
      <c r="N375" s="35" t="s">
        <v>31</v>
      </c>
      <c r="O375" s="35" t="s">
        <v>33</v>
      </c>
      <c r="P375" s="35" t="s">
        <v>31</v>
      </c>
      <c r="Q375" s="35" t="s">
        <v>33</v>
      </c>
      <c r="R375" s="35" t="s">
        <v>31</v>
      </c>
      <c r="S375" s="35" t="s">
        <v>33</v>
      </c>
      <c r="T375" s="35" t="s">
        <v>31</v>
      </c>
      <c r="U375" s="35" t="s">
        <v>34</v>
      </c>
      <c r="V375" s="36" t="s">
        <v>7</v>
      </c>
      <c r="W375" s="36" t="s">
        <v>35</v>
      </c>
      <c r="X375" s="36" t="s">
        <v>36</v>
      </c>
      <c r="Y375" s="36" t="s">
        <v>37</v>
      </c>
      <c r="Z375" s="4"/>
      <c r="AA375" s="4"/>
      <c r="AB375" s="4"/>
      <c r="AC375" s="3"/>
      <c r="AD375" s="3"/>
      <c r="AE375" s="2"/>
      <c r="AF375" s="3"/>
      <c r="AG375" s="3"/>
      <c r="AH375" s="3"/>
      <c r="AI375" s="2"/>
      <c r="AJ375" s="2"/>
      <c r="AK375" s="2"/>
      <c r="AL375" s="2"/>
      <c r="AM375" s="2"/>
      <c r="AN375" s="2"/>
      <c r="AO375" s="2"/>
      <c r="AP375" s="100"/>
      <c r="AQ375" s="2"/>
      <c r="AR375" s="2"/>
      <c r="AS375" s="3"/>
    </row>
    <row r="376">
      <c r="A376" s="7" t="s">
        <v>42</v>
      </c>
      <c r="B376" s="46">
        <v>335000.0</v>
      </c>
      <c r="C376" s="7"/>
      <c r="D376" s="47">
        <v>1.0</v>
      </c>
      <c r="E376" s="7"/>
      <c r="F376" s="7"/>
      <c r="G376" s="47">
        <v>13.0</v>
      </c>
      <c r="H376" s="7"/>
      <c r="I376" s="47">
        <v>8.0</v>
      </c>
      <c r="J376" s="7"/>
      <c r="K376" s="47">
        <v>22.0</v>
      </c>
      <c r="L376" s="7"/>
      <c r="M376" s="47">
        <v>6.0</v>
      </c>
      <c r="N376" s="7"/>
      <c r="O376" s="47">
        <v>3.0</v>
      </c>
      <c r="P376" s="7"/>
      <c r="Q376" s="47">
        <v>1.0</v>
      </c>
      <c r="R376" s="7"/>
      <c r="S376" s="7"/>
      <c r="T376" s="7"/>
      <c r="U376" s="7"/>
      <c r="V376" s="48">
        <f t="shared" ref="V376:V385" si="139">D376</f>
        <v>1</v>
      </c>
      <c r="W376" s="48">
        <f t="shared" ref="W376:W385" si="140">G376+I376+K376+M376+O376+Q376+S376</f>
        <v>53</v>
      </c>
      <c r="X376" s="48">
        <f t="shared" ref="X376:X386" si="141">V376+W376</f>
        <v>54</v>
      </c>
      <c r="Y376" s="49">
        <f t="shared" ref="Y376:Y385" si="142">B376*X376</f>
        <v>18090000</v>
      </c>
      <c r="Z376" s="4"/>
      <c r="AA376" s="4"/>
      <c r="AB376" s="4"/>
      <c r="AC376" s="3"/>
      <c r="AD376" s="3"/>
      <c r="AE376" s="2"/>
      <c r="AF376" s="3"/>
      <c r="AG376" s="3"/>
      <c r="AH376" s="3"/>
      <c r="AI376" s="2"/>
      <c r="AJ376" s="2"/>
      <c r="AK376" s="2"/>
      <c r="AL376" s="2"/>
      <c r="AM376" s="2"/>
      <c r="AN376" s="2"/>
      <c r="AO376" s="2"/>
      <c r="AP376" s="100"/>
      <c r="AQ376" s="2"/>
      <c r="AR376" s="2"/>
      <c r="AS376" s="3"/>
    </row>
    <row r="377">
      <c r="A377" s="7" t="s">
        <v>45</v>
      </c>
      <c r="B377" s="13">
        <v>395000.0</v>
      </c>
      <c r="C377" s="6"/>
      <c r="D377" s="7"/>
      <c r="E377" s="7"/>
      <c r="F377" s="7"/>
      <c r="G377" s="47">
        <v>17.0</v>
      </c>
      <c r="H377" s="7"/>
      <c r="I377" s="47">
        <v>3.0</v>
      </c>
      <c r="J377" s="7"/>
      <c r="K377" s="7"/>
      <c r="L377" s="7"/>
      <c r="M377" s="47">
        <v>3.0</v>
      </c>
      <c r="N377" s="7"/>
      <c r="O377" s="47">
        <v>1.0</v>
      </c>
      <c r="P377" s="7"/>
      <c r="Q377" s="47">
        <v>3.0</v>
      </c>
      <c r="R377" s="7"/>
      <c r="S377" s="7"/>
      <c r="T377" s="7"/>
      <c r="U377" s="7"/>
      <c r="V377" s="54" t="str">
        <f t="shared" si="139"/>
        <v/>
      </c>
      <c r="W377" s="48">
        <f t="shared" si="140"/>
        <v>27</v>
      </c>
      <c r="X377" s="48">
        <f t="shared" si="141"/>
        <v>27</v>
      </c>
      <c r="Y377" s="49">
        <f t="shared" si="142"/>
        <v>10665000</v>
      </c>
      <c r="Z377" s="4"/>
      <c r="AA377" s="4"/>
      <c r="AB377" s="4"/>
      <c r="AC377" s="3"/>
      <c r="AD377" s="3"/>
      <c r="AE377" s="2"/>
      <c r="AF377" s="3"/>
      <c r="AG377" s="3"/>
      <c r="AH377" s="3"/>
      <c r="AI377" s="2"/>
      <c r="AJ377" s="2"/>
      <c r="AK377" s="2"/>
      <c r="AL377" s="2"/>
      <c r="AM377" s="2"/>
      <c r="AN377" s="2"/>
      <c r="AO377" s="2"/>
      <c r="AP377" s="100"/>
      <c r="AQ377" s="2"/>
      <c r="AR377" s="2"/>
      <c r="AS377" s="3"/>
    </row>
    <row r="378">
      <c r="A378" s="7" t="s">
        <v>48</v>
      </c>
      <c r="B378" s="46">
        <v>450000.0</v>
      </c>
      <c r="C378" s="7"/>
      <c r="D378" s="47">
        <v>1.0</v>
      </c>
      <c r="E378" s="7"/>
      <c r="F378" s="7"/>
      <c r="G378" s="47">
        <v>1.0</v>
      </c>
      <c r="H378" s="7"/>
      <c r="I378" s="7"/>
      <c r="J378" s="7"/>
      <c r="K378" s="47">
        <v>3.0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48">
        <f t="shared" si="139"/>
        <v>1</v>
      </c>
      <c r="W378" s="48">
        <f t="shared" si="140"/>
        <v>4</v>
      </c>
      <c r="X378" s="48">
        <f t="shared" si="141"/>
        <v>5</v>
      </c>
      <c r="Y378" s="49">
        <f t="shared" si="142"/>
        <v>2250000</v>
      </c>
      <c r="Z378" s="4"/>
      <c r="AA378" s="4"/>
      <c r="AB378" s="4"/>
      <c r="AC378" s="3"/>
      <c r="AD378" s="3"/>
      <c r="AE378" s="2"/>
      <c r="AF378" s="3"/>
      <c r="AG378" s="3"/>
      <c r="AH378" s="3"/>
      <c r="AI378" s="2"/>
      <c r="AJ378" s="2"/>
      <c r="AK378" s="2"/>
      <c r="AL378" s="2"/>
      <c r="AM378" s="2"/>
      <c r="AN378" s="2"/>
      <c r="AO378" s="2"/>
      <c r="AP378" s="100"/>
      <c r="AQ378" s="2"/>
      <c r="AR378" s="2"/>
      <c r="AS378" s="3"/>
    </row>
    <row r="379">
      <c r="A379" s="7" t="s">
        <v>50</v>
      </c>
      <c r="B379" s="46">
        <v>575000.0</v>
      </c>
      <c r="C379" s="7"/>
      <c r="D379" s="47">
        <v>1.0</v>
      </c>
      <c r="E379" s="7"/>
      <c r="F379" s="7"/>
      <c r="G379" s="47">
        <v>5.0</v>
      </c>
      <c r="H379" s="7"/>
      <c r="I379" s="7"/>
      <c r="J379" s="7"/>
      <c r="K379" s="7"/>
      <c r="L379" s="7"/>
      <c r="M379" s="47">
        <v>1.0</v>
      </c>
      <c r="N379" s="7"/>
      <c r="O379" s="7"/>
      <c r="P379" s="7"/>
      <c r="Q379" s="7"/>
      <c r="R379" s="7"/>
      <c r="S379" s="7"/>
      <c r="T379" s="7"/>
      <c r="U379" s="7"/>
      <c r="V379" s="48">
        <f t="shared" si="139"/>
        <v>1</v>
      </c>
      <c r="W379" s="48">
        <f t="shared" si="140"/>
        <v>6</v>
      </c>
      <c r="X379" s="48">
        <f t="shared" si="141"/>
        <v>7</v>
      </c>
      <c r="Y379" s="49">
        <f t="shared" si="142"/>
        <v>4025000</v>
      </c>
      <c r="Z379" s="4"/>
      <c r="AA379" s="4"/>
      <c r="AB379" s="4"/>
      <c r="AC379" s="3"/>
      <c r="AD379" s="3"/>
      <c r="AE379" s="2"/>
      <c r="AF379" s="3"/>
      <c r="AG379" s="3"/>
      <c r="AH379" s="3"/>
      <c r="AI379" s="2"/>
      <c r="AJ379" s="2"/>
      <c r="AK379" s="2"/>
      <c r="AL379" s="2"/>
      <c r="AM379" s="2"/>
      <c r="AN379" s="2"/>
      <c r="AO379" s="2"/>
      <c r="AP379" s="100"/>
      <c r="AQ379" s="2"/>
      <c r="AR379" s="2"/>
      <c r="AS379" s="3"/>
    </row>
    <row r="380">
      <c r="A380" s="7" t="s">
        <v>53</v>
      </c>
      <c r="B380" s="53">
        <v>262000.0</v>
      </c>
      <c r="C380" s="7"/>
      <c r="D380" s="47">
        <v>1.0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47">
        <v>1.0</v>
      </c>
      <c r="R380" s="7"/>
      <c r="S380" s="47">
        <v>1.0</v>
      </c>
      <c r="T380" s="7"/>
      <c r="U380" s="7"/>
      <c r="V380" s="48">
        <f t="shared" si="139"/>
        <v>1</v>
      </c>
      <c r="W380" s="48">
        <f t="shared" si="140"/>
        <v>2</v>
      </c>
      <c r="X380" s="48">
        <f t="shared" si="141"/>
        <v>3</v>
      </c>
      <c r="Y380" s="49">
        <f t="shared" si="142"/>
        <v>786000</v>
      </c>
      <c r="Z380" s="4"/>
      <c r="AA380" s="4"/>
      <c r="AB380" s="4"/>
      <c r="AC380" s="3"/>
      <c r="AD380" s="3"/>
      <c r="AE380" s="2"/>
      <c r="AF380" s="3"/>
      <c r="AG380" s="3"/>
      <c r="AH380" s="3"/>
      <c r="AI380" s="2"/>
      <c r="AJ380" s="2"/>
      <c r="AK380" s="2"/>
      <c r="AL380" s="2"/>
      <c r="AM380" s="2"/>
      <c r="AN380" s="2"/>
      <c r="AO380" s="2"/>
      <c r="AP380" s="100"/>
      <c r="AQ380" s="2"/>
      <c r="AR380" s="2"/>
      <c r="AS380" s="3"/>
    </row>
    <row r="381">
      <c r="A381" s="7" t="s">
        <v>55</v>
      </c>
      <c r="B381" s="53">
        <v>185000.0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47">
        <v>1.0</v>
      </c>
      <c r="T381" s="7"/>
      <c r="U381" s="7"/>
      <c r="V381" s="54" t="str">
        <f t="shared" si="139"/>
        <v/>
      </c>
      <c r="W381" s="48">
        <f t="shared" si="140"/>
        <v>1</v>
      </c>
      <c r="X381" s="48">
        <f t="shared" si="141"/>
        <v>1</v>
      </c>
      <c r="Y381" s="49">
        <f t="shared" si="142"/>
        <v>185000</v>
      </c>
      <c r="Z381" s="4"/>
      <c r="AA381" s="4"/>
      <c r="AB381" s="4"/>
      <c r="AC381" s="3"/>
      <c r="AD381" s="3"/>
      <c r="AE381" s="2"/>
      <c r="AF381" s="3"/>
      <c r="AG381" s="3"/>
      <c r="AH381" s="3"/>
      <c r="AI381" s="2"/>
      <c r="AJ381" s="2"/>
      <c r="AK381" s="2"/>
      <c r="AL381" s="2"/>
      <c r="AM381" s="2"/>
      <c r="AN381" s="2"/>
      <c r="AO381" s="2"/>
      <c r="AP381" s="100"/>
      <c r="AQ381" s="2"/>
      <c r="AR381" s="2"/>
      <c r="AS381" s="3"/>
    </row>
    <row r="382">
      <c r="A382" s="7" t="s">
        <v>57</v>
      </c>
      <c r="B382" s="53">
        <v>242000.0</v>
      </c>
      <c r="C382" s="7"/>
      <c r="D382" s="47">
        <v>1.0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47">
        <v>1.0</v>
      </c>
      <c r="R382" s="7"/>
      <c r="S382" s="47">
        <v>1.0</v>
      </c>
      <c r="T382" s="7"/>
      <c r="U382" s="7"/>
      <c r="V382" s="48">
        <f t="shared" si="139"/>
        <v>1</v>
      </c>
      <c r="W382" s="48">
        <f t="shared" si="140"/>
        <v>2</v>
      </c>
      <c r="X382" s="48">
        <f t="shared" si="141"/>
        <v>3</v>
      </c>
      <c r="Y382" s="49">
        <f t="shared" si="142"/>
        <v>726000</v>
      </c>
      <c r="Z382" s="4"/>
      <c r="AA382" s="4"/>
      <c r="AB382" s="4"/>
      <c r="AC382" s="3"/>
      <c r="AD382" s="3"/>
      <c r="AE382" s="2"/>
      <c r="AF382" s="3"/>
      <c r="AG382" s="3"/>
      <c r="AH382" s="3"/>
      <c r="AI382" s="2"/>
      <c r="AJ382" s="2"/>
      <c r="AK382" s="2"/>
      <c r="AL382" s="2"/>
      <c r="AM382" s="2"/>
      <c r="AN382" s="2"/>
      <c r="AO382" s="2"/>
      <c r="AP382" s="100"/>
      <c r="AQ382" s="2"/>
      <c r="AR382" s="2"/>
      <c r="AS382" s="3"/>
    </row>
    <row r="383">
      <c r="A383" s="7" t="s">
        <v>60</v>
      </c>
      <c r="B383" s="53">
        <v>202000.0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47">
        <v>1.0</v>
      </c>
      <c r="R383" s="7"/>
      <c r="S383" s="47">
        <v>1.0</v>
      </c>
      <c r="T383" s="7"/>
      <c r="U383" s="7"/>
      <c r="V383" s="54" t="str">
        <f t="shared" si="139"/>
        <v/>
      </c>
      <c r="W383" s="48">
        <f t="shared" si="140"/>
        <v>2</v>
      </c>
      <c r="X383" s="48">
        <f t="shared" si="141"/>
        <v>2</v>
      </c>
      <c r="Y383" s="49">
        <f t="shared" si="142"/>
        <v>404000</v>
      </c>
      <c r="Z383" s="4"/>
      <c r="AA383" s="4"/>
      <c r="AB383" s="4"/>
      <c r="AC383" s="3"/>
      <c r="AD383" s="3"/>
      <c r="AE383" s="2"/>
      <c r="AF383" s="3"/>
      <c r="AG383" s="3"/>
      <c r="AH383" s="3"/>
      <c r="AI383" s="2"/>
      <c r="AJ383" s="2"/>
      <c r="AK383" s="2"/>
      <c r="AL383" s="2"/>
      <c r="AM383" s="2"/>
      <c r="AN383" s="2"/>
      <c r="AO383" s="2"/>
      <c r="AP383" s="100"/>
      <c r="AQ383" s="2"/>
      <c r="AR383" s="2"/>
      <c r="AS383" s="3"/>
    </row>
    <row r="384">
      <c r="A384" s="7" t="s">
        <v>61</v>
      </c>
      <c r="B384" s="53">
        <v>175000.0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47">
        <v>1.0</v>
      </c>
      <c r="R384" s="7"/>
      <c r="S384" s="47">
        <v>1.0</v>
      </c>
      <c r="T384" s="7"/>
      <c r="U384" s="7"/>
      <c r="V384" s="54" t="str">
        <f t="shared" si="139"/>
        <v/>
      </c>
      <c r="W384" s="48">
        <f t="shared" si="140"/>
        <v>2</v>
      </c>
      <c r="X384" s="48">
        <f t="shared" si="141"/>
        <v>2</v>
      </c>
      <c r="Y384" s="49">
        <f t="shared" si="142"/>
        <v>350000</v>
      </c>
      <c r="Z384" s="4"/>
      <c r="AA384" s="4"/>
      <c r="AB384" s="4"/>
      <c r="AC384" s="3"/>
      <c r="AD384" s="3"/>
      <c r="AE384" s="2"/>
      <c r="AF384" s="3"/>
      <c r="AG384" s="3"/>
      <c r="AH384" s="3"/>
      <c r="AI384" s="2"/>
      <c r="AJ384" s="2"/>
      <c r="AK384" s="2"/>
      <c r="AL384" s="2"/>
      <c r="AM384" s="2"/>
      <c r="AN384" s="2"/>
      <c r="AO384" s="2"/>
      <c r="AP384" s="100"/>
      <c r="AQ384" s="2"/>
      <c r="AR384" s="2"/>
      <c r="AS384" s="3"/>
    </row>
    <row r="385">
      <c r="A385" s="7" t="s">
        <v>62</v>
      </c>
      <c r="B385" s="53">
        <v>233000.0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54" t="str">
        <f t="shared" si="139"/>
        <v/>
      </c>
      <c r="W385" s="48">
        <f t="shared" si="140"/>
        <v>0</v>
      </c>
      <c r="X385" s="48">
        <f t="shared" si="141"/>
        <v>0</v>
      </c>
      <c r="Y385" s="49">
        <f t="shared" si="142"/>
        <v>0</v>
      </c>
      <c r="Z385" s="4"/>
      <c r="AA385" s="4"/>
      <c r="AB385" s="4"/>
      <c r="AC385" s="3"/>
      <c r="AD385" s="3"/>
      <c r="AE385" s="2"/>
      <c r="AF385" s="3"/>
      <c r="AG385" s="3"/>
      <c r="AH385" s="3"/>
      <c r="AI385" s="2"/>
      <c r="AJ385" s="2"/>
      <c r="AK385" s="2"/>
      <c r="AL385" s="2"/>
      <c r="AM385" s="2"/>
      <c r="AN385" s="2"/>
      <c r="AO385" s="2"/>
      <c r="AP385" s="100"/>
      <c r="AQ385" s="2"/>
      <c r="AR385" s="2"/>
      <c r="AS385" s="3"/>
    </row>
    <row r="386">
      <c r="A386" s="7" t="s">
        <v>63</v>
      </c>
      <c r="B386" s="8"/>
      <c r="C386" s="7"/>
      <c r="D386" s="47">
        <f t="shared" ref="D386:W386" si="143">SUM(D376:D385)</f>
        <v>5</v>
      </c>
      <c r="E386" s="47">
        <f t="shared" si="143"/>
        <v>0</v>
      </c>
      <c r="F386" s="47">
        <f t="shared" si="143"/>
        <v>0</v>
      </c>
      <c r="G386" s="47">
        <f t="shared" si="143"/>
        <v>36</v>
      </c>
      <c r="H386" s="47">
        <f t="shared" si="143"/>
        <v>0</v>
      </c>
      <c r="I386" s="47">
        <f t="shared" si="143"/>
        <v>11</v>
      </c>
      <c r="J386" s="47">
        <f t="shared" si="143"/>
        <v>0</v>
      </c>
      <c r="K386" s="47">
        <f t="shared" si="143"/>
        <v>25</v>
      </c>
      <c r="L386" s="47">
        <f t="shared" si="143"/>
        <v>0</v>
      </c>
      <c r="M386" s="47">
        <f t="shared" si="143"/>
        <v>10</v>
      </c>
      <c r="N386" s="47">
        <f t="shared" si="143"/>
        <v>0</v>
      </c>
      <c r="O386" s="47">
        <f t="shared" si="143"/>
        <v>4</v>
      </c>
      <c r="P386" s="47">
        <f t="shared" si="143"/>
        <v>0</v>
      </c>
      <c r="Q386" s="47">
        <f t="shared" si="143"/>
        <v>8</v>
      </c>
      <c r="R386" s="47">
        <f t="shared" si="143"/>
        <v>0</v>
      </c>
      <c r="S386" s="47">
        <f t="shared" si="143"/>
        <v>5</v>
      </c>
      <c r="T386" s="47">
        <f t="shared" si="143"/>
        <v>0</v>
      </c>
      <c r="U386" s="47">
        <f t="shared" si="143"/>
        <v>0</v>
      </c>
      <c r="V386" s="101">
        <f t="shared" si="143"/>
        <v>5</v>
      </c>
      <c r="W386" s="101">
        <f t="shared" si="143"/>
        <v>99</v>
      </c>
      <c r="X386" s="48">
        <f t="shared" si="141"/>
        <v>104</v>
      </c>
      <c r="Y386" s="102">
        <f>SUM(Y376:Y385)</f>
        <v>37481000</v>
      </c>
      <c r="Z386" s="4"/>
      <c r="AA386" s="4"/>
      <c r="AB386" s="4"/>
      <c r="AC386" s="3"/>
      <c r="AD386" s="3"/>
      <c r="AE386" s="2"/>
      <c r="AF386" s="3"/>
      <c r="AG386" s="3"/>
      <c r="AH386" s="3"/>
      <c r="AI386" s="2"/>
      <c r="AJ386" s="2"/>
      <c r="AK386" s="2"/>
      <c r="AL386" s="2"/>
      <c r="AM386" s="2"/>
      <c r="AN386" s="2"/>
      <c r="AO386" s="2"/>
      <c r="AP386" s="100"/>
      <c r="AQ386" s="2"/>
      <c r="AR386" s="2"/>
      <c r="AS386" s="3"/>
    </row>
    <row r="387">
      <c r="A387" s="7" t="s">
        <v>64</v>
      </c>
      <c r="B387" s="8"/>
      <c r="C387" s="7"/>
      <c r="D387" s="7"/>
      <c r="E387" s="7"/>
      <c r="F387" s="7"/>
      <c r="G387" s="47">
        <f>G386-H386</f>
        <v>36</v>
      </c>
      <c r="H387" s="7"/>
      <c r="I387" s="47">
        <f>I386-J386</f>
        <v>11</v>
      </c>
      <c r="J387" s="7"/>
      <c r="K387" s="47">
        <f>K386-L386</f>
        <v>25</v>
      </c>
      <c r="L387" s="7"/>
      <c r="M387" s="47">
        <f>M386-N386</f>
        <v>10</v>
      </c>
      <c r="N387" s="7"/>
      <c r="O387" s="47">
        <f>O386-P386</f>
        <v>4</v>
      </c>
      <c r="P387" s="7"/>
      <c r="Q387" s="47">
        <f>Q386-R386</f>
        <v>8</v>
      </c>
      <c r="R387" s="7"/>
      <c r="S387" s="47">
        <f>S386-T386</f>
        <v>5</v>
      </c>
      <c r="T387" s="7"/>
      <c r="U387" s="7"/>
      <c r="V387" s="54"/>
      <c r="W387" s="54"/>
      <c r="X387" s="48">
        <f>sum(X376:X386)</f>
        <v>208</v>
      </c>
      <c r="Y387" s="55"/>
      <c r="Z387" s="4"/>
      <c r="AA387" s="4"/>
      <c r="AB387" s="4"/>
      <c r="AC387" s="3"/>
      <c r="AD387" s="3"/>
      <c r="AE387" s="2"/>
      <c r="AF387" s="3"/>
      <c r="AG387" s="3"/>
      <c r="AH387" s="3"/>
      <c r="AI387" s="2"/>
      <c r="AJ387" s="2"/>
      <c r="AK387" s="2"/>
      <c r="AL387" s="2"/>
      <c r="AM387" s="2"/>
      <c r="AN387" s="2"/>
      <c r="AO387" s="2"/>
      <c r="AP387" s="100"/>
      <c r="AQ387" s="2"/>
      <c r="AR387" s="2"/>
      <c r="AS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/>
      <c r="AA388" s="4"/>
      <c r="AB388" s="4"/>
      <c r="AC388" s="3"/>
      <c r="AD388" s="3"/>
      <c r="AE388" s="2"/>
      <c r="AF388" s="3"/>
      <c r="AG388" s="3"/>
      <c r="AH388" s="3"/>
      <c r="AI388" s="2"/>
      <c r="AJ388" s="2"/>
      <c r="AK388" s="2"/>
      <c r="AL388" s="2"/>
      <c r="AM388" s="2"/>
      <c r="AN388" s="2"/>
      <c r="AO388" s="2"/>
      <c r="AP388" s="100"/>
      <c r="AQ388" s="2"/>
      <c r="AR388" s="2"/>
      <c r="AS388" s="3"/>
    </row>
    <row r="389">
      <c r="A389" s="7"/>
      <c r="B389" s="8"/>
      <c r="C389" s="7"/>
      <c r="D389" s="9">
        <v>46017.0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  <c r="X389" s="6"/>
      <c r="Y389" s="6"/>
      <c r="Z389" s="4"/>
      <c r="AA389" s="4"/>
      <c r="AB389" s="4"/>
      <c r="AC389" s="3"/>
      <c r="AD389" s="3"/>
      <c r="AE389" s="2"/>
      <c r="AF389" s="3"/>
      <c r="AG389" s="3"/>
      <c r="AH389" s="3"/>
      <c r="AI389" s="2"/>
      <c r="AJ389" s="2"/>
      <c r="AK389" s="2"/>
      <c r="AL389" s="2"/>
      <c r="AM389" s="2"/>
      <c r="AN389" s="2"/>
      <c r="AO389" s="2"/>
      <c r="AP389" s="100"/>
      <c r="AQ389" s="2"/>
      <c r="AR389" s="2"/>
      <c r="AS389" s="3"/>
    </row>
    <row r="390">
      <c r="A390" s="70" t="s">
        <v>6</v>
      </c>
      <c r="B390" s="34" t="b">
        <v>0</v>
      </c>
      <c r="C390" s="7"/>
      <c r="D390" s="71" t="s">
        <v>7</v>
      </c>
      <c r="E390" s="11"/>
      <c r="F390" s="7"/>
      <c r="G390" s="71" t="s">
        <v>8</v>
      </c>
      <c r="H390" s="11"/>
      <c r="I390" s="71" t="s">
        <v>9</v>
      </c>
      <c r="J390" s="11"/>
      <c r="K390" s="71" t="s">
        <v>10</v>
      </c>
      <c r="L390" s="11"/>
      <c r="M390" s="71" t="s">
        <v>11</v>
      </c>
      <c r="N390" s="11"/>
      <c r="O390" s="71" t="s">
        <v>12</v>
      </c>
      <c r="P390" s="11"/>
      <c r="Q390" s="71" t="s">
        <v>13</v>
      </c>
      <c r="R390" s="11"/>
      <c r="S390" s="71" t="s">
        <v>14</v>
      </c>
      <c r="T390" s="11"/>
      <c r="U390" s="35" t="s">
        <v>15</v>
      </c>
      <c r="V390" s="73" t="s">
        <v>16</v>
      </c>
      <c r="W390" s="10"/>
      <c r="X390" s="10"/>
      <c r="Y390" s="11"/>
      <c r="Z390" s="4"/>
      <c r="AA390" s="4"/>
      <c r="AB390" s="4"/>
      <c r="AC390" s="3"/>
      <c r="AD390" s="3"/>
      <c r="AE390" s="2"/>
      <c r="AF390" s="3"/>
      <c r="AG390" s="3"/>
      <c r="AH390" s="3"/>
      <c r="AI390" s="2"/>
      <c r="AJ390" s="2"/>
      <c r="AK390" s="2"/>
      <c r="AL390" s="2"/>
      <c r="AM390" s="2"/>
      <c r="AN390" s="2"/>
      <c r="AO390" s="2"/>
      <c r="AP390" s="100"/>
      <c r="AQ390" s="2"/>
      <c r="AR390" s="2"/>
      <c r="AS390" s="3"/>
    </row>
    <row r="391">
      <c r="A391" s="7"/>
      <c r="B391" s="34" t="s">
        <v>28</v>
      </c>
      <c r="C391" s="35" t="s">
        <v>29</v>
      </c>
      <c r="D391" s="35" t="s">
        <v>30</v>
      </c>
      <c r="E391" s="35" t="s">
        <v>31</v>
      </c>
      <c r="F391" s="35" t="s">
        <v>32</v>
      </c>
      <c r="G391" s="35" t="s">
        <v>33</v>
      </c>
      <c r="H391" s="35" t="s">
        <v>31</v>
      </c>
      <c r="I391" s="35" t="s">
        <v>33</v>
      </c>
      <c r="J391" s="35" t="s">
        <v>31</v>
      </c>
      <c r="K391" s="35" t="s">
        <v>33</v>
      </c>
      <c r="L391" s="35" t="s">
        <v>31</v>
      </c>
      <c r="M391" s="35" t="s">
        <v>33</v>
      </c>
      <c r="N391" s="35" t="s">
        <v>31</v>
      </c>
      <c r="O391" s="35" t="s">
        <v>33</v>
      </c>
      <c r="P391" s="35" t="s">
        <v>31</v>
      </c>
      <c r="Q391" s="35" t="s">
        <v>33</v>
      </c>
      <c r="R391" s="35" t="s">
        <v>31</v>
      </c>
      <c r="S391" s="35" t="s">
        <v>33</v>
      </c>
      <c r="T391" s="35" t="s">
        <v>31</v>
      </c>
      <c r="U391" s="35" t="s">
        <v>34</v>
      </c>
      <c r="V391" s="36" t="s">
        <v>7</v>
      </c>
      <c r="W391" s="36" t="s">
        <v>35</v>
      </c>
      <c r="X391" s="36" t="s">
        <v>36</v>
      </c>
      <c r="Y391" s="36" t="s">
        <v>37</v>
      </c>
      <c r="Z391" s="4"/>
      <c r="AA391" s="4"/>
      <c r="AB391" s="4"/>
      <c r="AC391" s="3"/>
      <c r="AD391" s="3"/>
      <c r="AE391" s="2"/>
      <c r="AF391" s="3"/>
      <c r="AG391" s="3"/>
      <c r="AH391" s="3"/>
      <c r="AI391" s="2"/>
      <c r="AJ391" s="2"/>
      <c r="AK391" s="2"/>
      <c r="AL391" s="2"/>
      <c r="AM391" s="2"/>
      <c r="AN391" s="2"/>
      <c r="AO391" s="2"/>
      <c r="AP391" s="100"/>
      <c r="AQ391" s="2"/>
      <c r="AR391" s="2"/>
      <c r="AS391" s="3"/>
    </row>
    <row r="392">
      <c r="A392" s="7" t="s">
        <v>42</v>
      </c>
      <c r="B392" s="46">
        <v>335000.0</v>
      </c>
      <c r="C392" s="7"/>
      <c r="D392" s="47">
        <v>1.0</v>
      </c>
      <c r="E392" s="7"/>
      <c r="F392" s="7"/>
      <c r="G392" s="47">
        <v>13.0</v>
      </c>
      <c r="H392" s="7"/>
      <c r="I392" s="47">
        <v>8.0</v>
      </c>
      <c r="J392" s="7"/>
      <c r="K392" s="47">
        <v>22.0</v>
      </c>
      <c r="L392" s="7"/>
      <c r="M392" s="47">
        <v>6.0</v>
      </c>
      <c r="N392" s="7"/>
      <c r="O392" s="47">
        <v>3.0</v>
      </c>
      <c r="P392" s="7"/>
      <c r="Q392" s="47">
        <v>1.0</v>
      </c>
      <c r="R392" s="7"/>
      <c r="S392" s="7"/>
      <c r="T392" s="7"/>
      <c r="U392" s="7"/>
      <c r="V392" s="48">
        <f t="shared" ref="V392:V401" si="144">D392</f>
        <v>1</v>
      </c>
      <c r="W392" s="48">
        <f t="shared" ref="W392:W401" si="145">G392+I392+K392+M392+O392+Q392+S392</f>
        <v>53</v>
      </c>
      <c r="X392" s="48">
        <f t="shared" ref="X392:X402" si="146">V392+W392</f>
        <v>54</v>
      </c>
      <c r="Y392" s="49">
        <f t="shared" ref="Y392:Y401" si="147">B392*X392</f>
        <v>18090000</v>
      </c>
      <c r="Z392" s="4"/>
      <c r="AA392" s="4"/>
      <c r="AB392" s="4"/>
      <c r="AC392" s="3"/>
      <c r="AD392" s="3"/>
      <c r="AE392" s="2"/>
      <c r="AF392" s="3"/>
      <c r="AG392" s="3"/>
      <c r="AH392" s="3"/>
      <c r="AI392" s="2"/>
      <c r="AJ392" s="2"/>
      <c r="AK392" s="2"/>
      <c r="AL392" s="2"/>
      <c r="AM392" s="2"/>
      <c r="AN392" s="2"/>
      <c r="AO392" s="2"/>
      <c r="AP392" s="100"/>
      <c r="AQ392" s="2"/>
      <c r="AR392" s="2"/>
      <c r="AS392" s="3"/>
    </row>
    <row r="393">
      <c r="A393" s="7" t="s">
        <v>45</v>
      </c>
      <c r="B393" s="13">
        <v>395000.0</v>
      </c>
      <c r="C393" s="6"/>
      <c r="D393" s="7"/>
      <c r="E393" s="7"/>
      <c r="F393" s="7"/>
      <c r="G393" s="47">
        <v>17.0</v>
      </c>
      <c r="H393" s="7"/>
      <c r="I393" s="47">
        <v>3.0</v>
      </c>
      <c r="J393" s="7"/>
      <c r="K393" s="7"/>
      <c r="L393" s="7"/>
      <c r="M393" s="47">
        <v>3.0</v>
      </c>
      <c r="N393" s="7"/>
      <c r="O393" s="47">
        <v>1.0</v>
      </c>
      <c r="P393" s="7"/>
      <c r="Q393" s="47">
        <v>3.0</v>
      </c>
      <c r="R393" s="7"/>
      <c r="S393" s="7"/>
      <c r="T393" s="7"/>
      <c r="U393" s="7"/>
      <c r="V393" s="54" t="str">
        <f t="shared" si="144"/>
        <v/>
      </c>
      <c r="W393" s="48">
        <f t="shared" si="145"/>
        <v>27</v>
      </c>
      <c r="X393" s="48">
        <f t="shared" si="146"/>
        <v>27</v>
      </c>
      <c r="Y393" s="49">
        <f t="shared" si="147"/>
        <v>10665000</v>
      </c>
      <c r="Z393" s="4"/>
      <c r="AA393" s="4"/>
      <c r="AB393" s="4"/>
      <c r="AC393" s="3"/>
      <c r="AD393" s="3"/>
      <c r="AE393" s="2"/>
      <c r="AF393" s="3"/>
      <c r="AG393" s="3"/>
      <c r="AH393" s="3"/>
      <c r="AI393" s="2"/>
      <c r="AJ393" s="2"/>
      <c r="AK393" s="2"/>
      <c r="AL393" s="2"/>
      <c r="AM393" s="2"/>
      <c r="AN393" s="2"/>
      <c r="AO393" s="2"/>
      <c r="AP393" s="100"/>
      <c r="AQ393" s="2"/>
      <c r="AR393" s="2"/>
      <c r="AS393" s="3"/>
    </row>
    <row r="394">
      <c r="A394" s="7" t="s">
        <v>48</v>
      </c>
      <c r="B394" s="46">
        <v>450000.0</v>
      </c>
      <c r="C394" s="7"/>
      <c r="D394" s="47">
        <v>1.0</v>
      </c>
      <c r="E394" s="7"/>
      <c r="F394" s="7"/>
      <c r="G394" s="47">
        <v>1.0</v>
      </c>
      <c r="H394" s="7"/>
      <c r="I394" s="7"/>
      <c r="J394" s="7"/>
      <c r="K394" s="47">
        <v>3.0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48">
        <f t="shared" si="144"/>
        <v>1</v>
      </c>
      <c r="W394" s="48">
        <f t="shared" si="145"/>
        <v>4</v>
      </c>
      <c r="X394" s="48">
        <f t="shared" si="146"/>
        <v>5</v>
      </c>
      <c r="Y394" s="49">
        <f t="shared" si="147"/>
        <v>2250000</v>
      </c>
      <c r="Z394" s="4"/>
      <c r="AA394" s="4"/>
      <c r="AB394" s="4"/>
      <c r="AC394" s="3"/>
      <c r="AD394" s="3"/>
      <c r="AE394" s="2"/>
      <c r="AF394" s="3"/>
      <c r="AG394" s="3"/>
      <c r="AH394" s="3"/>
      <c r="AI394" s="2"/>
      <c r="AJ394" s="2"/>
      <c r="AK394" s="2"/>
      <c r="AL394" s="2"/>
      <c r="AM394" s="2"/>
      <c r="AN394" s="2"/>
      <c r="AO394" s="2"/>
      <c r="AP394" s="100"/>
      <c r="AQ394" s="2"/>
      <c r="AR394" s="2"/>
      <c r="AS394" s="3"/>
    </row>
    <row r="395">
      <c r="A395" s="7" t="s">
        <v>50</v>
      </c>
      <c r="B395" s="46">
        <v>575000.0</v>
      </c>
      <c r="C395" s="7"/>
      <c r="D395" s="47">
        <v>1.0</v>
      </c>
      <c r="E395" s="7"/>
      <c r="F395" s="7"/>
      <c r="G395" s="47">
        <v>5.0</v>
      </c>
      <c r="H395" s="7"/>
      <c r="I395" s="7"/>
      <c r="J395" s="7"/>
      <c r="K395" s="7"/>
      <c r="L395" s="7"/>
      <c r="M395" s="47">
        <v>1.0</v>
      </c>
      <c r="N395" s="7"/>
      <c r="O395" s="7"/>
      <c r="P395" s="7"/>
      <c r="Q395" s="7"/>
      <c r="R395" s="7"/>
      <c r="S395" s="7"/>
      <c r="T395" s="7"/>
      <c r="U395" s="7"/>
      <c r="V395" s="48">
        <f t="shared" si="144"/>
        <v>1</v>
      </c>
      <c r="W395" s="48">
        <f t="shared" si="145"/>
        <v>6</v>
      </c>
      <c r="X395" s="48">
        <f t="shared" si="146"/>
        <v>7</v>
      </c>
      <c r="Y395" s="49">
        <f t="shared" si="147"/>
        <v>4025000</v>
      </c>
      <c r="Z395" s="4"/>
      <c r="AA395" s="4"/>
      <c r="AB395" s="4"/>
      <c r="AC395" s="3"/>
      <c r="AD395" s="3"/>
      <c r="AE395" s="2"/>
      <c r="AF395" s="3"/>
      <c r="AG395" s="3"/>
      <c r="AH395" s="3"/>
      <c r="AI395" s="2"/>
      <c r="AJ395" s="2"/>
      <c r="AK395" s="2"/>
      <c r="AL395" s="2"/>
      <c r="AM395" s="2"/>
      <c r="AN395" s="2"/>
      <c r="AO395" s="2"/>
      <c r="AP395" s="100"/>
      <c r="AQ395" s="2"/>
      <c r="AR395" s="2"/>
      <c r="AS395" s="3"/>
    </row>
    <row r="396">
      <c r="A396" s="7" t="s">
        <v>53</v>
      </c>
      <c r="B396" s="53">
        <v>262000.0</v>
      </c>
      <c r="C396" s="7"/>
      <c r="D396" s="47">
        <v>1.0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47">
        <v>1.0</v>
      </c>
      <c r="R396" s="7"/>
      <c r="S396" s="47">
        <v>1.0</v>
      </c>
      <c r="T396" s="7"/>
      <c r="U396" s="7"/>
      <c r="V396" s="48">
        <f t="shared" si="144"/>
        <v>1</v>
      </c>
      <c r="W396" s="48">
        <f t="shared" si="145"/>
        <v>2</v>
      </c>
      <c r="X396" s="48">
        <f t="shared" si="146"/>
        <v>3</v>
      </c>
      <c r="Y396" s="49">
        <f t="shared" si="147"/>
        <v>786000</v>
      </c>
      <c r="Z396" s="4"/>
      <c r="AA396" s="4"/>
      <c r="AB396" s="4"/>
      <c r="AC396" s="3"/>
      <c r="AD396" s="3"/>
      <c r="AE396" s="2"/>
      <c r="AF396" s="3"/>
      <c r="AG396" s="3"/>
      <c r="AH396" s="3"/>
      <c r="AI396" s="2"/>
      <c r="AJ396" s="2"/>
      <c r="AK396" s="2"/>
      <c r="AL396" s="2"/>
      <c r="AM396" s="2"/>
      <c r="AN396" s="2"/>
      <c r="AO396" s="2"/>
      <c r="AP396" s="100"/>
      <c r="AQ396" s="2"/>
      <c r="AR396" s="2"/>
      <c r="AS396" s="3"/>
    </row>
    <row r="397">
      <c r="A397" s="7" t="s">
        <v>55</v>
      </c>
      <c r="B397" s="53">
        <v>185000.0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47">
        <v>1.0</v>
      </c>
      <c r="T397" s="7"/>
      <c r="U397" s="7"/>
      <c r="V397" s="54" t="str">
        <f t="shared" si="144"/>
        <v/>
      </c>
      <c r="W397" s="48">
        <f t="shared" si="145"/>
        <v>1</v>
      </c>
      <c r="X397" s="48">
        <f t="shared" si="146"/>
        <v>1</v>
      </c>
      <c r="Y397" s="49">
        <f t="shared" si="147"/>
        <v>185000</v>
      </c>
      <c r="Z397" s="4"/>
      <c r="AA397" s="4"/>
      <c r="AB397" s="4"/>
      <c r="AC397" s="3"/>
      <c r="AD397" s="3"/>
      <c r="AE397" s="2"/>
      <c r="AF397" s="3"/>
      <c r="AG397" s="3"/>
      <c r="AH397" s="3"/>
      <c r="AI397" s="2"/>
      <c r="AJ397" s="2"/>
      <c r="AK397" s="2"/>
      <c r="AL397" s="2"/>
      <c r="AM397" s="2"/>
      <c r="AN397" s="2"/>
      <c r="AO397" s="2"/>
      <c r="AP397" s="100"/>
      <c r="AQ397" s="2"/>
      <c r="AR397" s="2"/>
      <c r="AS397" s="3"/>
    </row>
    <row r="398">
      <c r="A398" s="7" t="s">
        <v>57</v>
      </c>
      <c r="B398" s="53">
        <v>242000.0</v>
      </c>
      <c r="C398" s="7"/>
      <c r="D398" s="47">
        <v>1.0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47">
        <v>1.0</v>
      </c>
      <c r="R398" s="7"/>
      <c r="S398" s="47">
        <v>1.0</v>
      </c>
      <c r="T398" s="7"/>
      <c r="U398" s="7"/>
      <c r="V398" s="48">
        <f t="shared" si="144"/>
        <v>1</v>
      </c>
      <c r="W398" s="48">
        <f t="shared" si="145"/>
        <v>2</v>
      </c>
      <c r="X398" s="48">
        <f t="shared" si="146"/>
        <v>3</v>
      </c>
      <c r="Y398" s="49">
        <f t="shared" si="147"/>
        <v>726000</v>
      </c>
      <c r="Z398" s="4"/>
      <c r="AA398" s="4"/>
      <c r="AB398" s="4"/>
      <c r="AC398" s="3"/>
      <c r="AD398" s="3"/>
      <c r="AE398" s="2"/>
      <c r="AF398" s="3"/>
      <c r="AG398" s="3"/>
      <c r="AH398" s="3"/>
      <c r="AI398" s="2"/>
      <c r="AJ398" s="2"/>
      <c r="AK398" s="2"/>
      <c r="AL398" s="2"/>
      <c r="AM398" s="2"/>
      <c r="AN398" s="2"/>
      <c r="AO398" s="2"/>
      <c r="AP398" s="100"/>
      <c r="AQ398" s="2"/>
      <c r="AR398" s="2"/>
      <c r="AS398" s="3"/>
    </row>
    <row r="399">
      <c r="A399" s="7" t="s">
        <v>60</v>
      </c>
      <c r="B399" s="53">
        <v>202000.0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47">
        <v>1.0</v>
      </c>
      <c r="R399" s="7"/>
      <c r="S399" s="47">
        <v>1.0</v>
      </c>
      <c r="T399" s="7"/>
      <c r="U399" s="7"/>
      <c r="V399" s="54" t="str">
        <f t="shared" si="144"/>
        <v/>
      </c>
      <c r="W399" s="48">
        <f t="shared" si="145"/>
        <v>2</v>
      </c>
      <c r="X399" s="48">
        <f t="shared" si="146"/>
        <v>2</v>
      </c>
      <c r="Y399" s="49">
        <f t="shared" si="147"/>
        <v>404000</v>
      </c>
      <c r="Z399" s="4"/>
      <c r="AA399" s="4"/>
      <c r="AB399" s="4"/>
      <c r="AC399" s="3"/>
      <c r="AD399" s="3"/>
      <c r="AE399" s="2"/>
      <c r="AF399" s="3"/>
      <c r="AG399" s="3"/>
      <c r="AH399" s="3"/>
      <c r="AI399" s="2"/>
      <c r="AJ399" s="2"/>
      <c r="AK399" s="2"/>
      <c r="AL399" s="2"/>
      <c r="AM399" s="2"/>
      <c r="AN399" s="2"/>
      <c r="AO399" s="2"/>
      <c r="AP399" s="100"/>
      <c r="AQ399" s="2"/>
      <c r="AR399" s="2"/>
      <c r="AS399" s="3"/>
    </row>
    <row r="400">
      <c r="A400" s="7" t="s">
        <v>61</v>
      </c>
      <c r="B400" s="53">
        <v>175000.0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47">
        <v>1.0</v>
      </c>
      <c r="R400" s="7"/>
      <c r="S400" s="47">
        <v>1.0</v>
      </c>
      <c r="T400" s="7"/>
      <c r="U400" s="7"/>
      <c r="V400" s="54" t="str">
        <f t="shared" si="144"/>
        <v/>
      </c>
      <c r="W400" s="48">
        <f t="shared" si="145"/>
        <v>2</v>
      </c>
      <c r="X400" s="48">
        <f t="shared" si="146"/>
        <v>2</v>
      </c>
      <c r="Y400" s="49">
        <f t="shared" si="147"/>
        <v>350000</v>
      </c>
      <c r="Z400" s="4"/>
      <c r="AA400" s="4"/>
      <c r="AB400" s="4"/>
      <c r="AC400" s="3"/>
      <c r="AD400" s="3"/>
      <c r="AE400" s="2"/>
      <c r="AF400" s="3"/>
      <c r="AG400" s="3"/>
      <c r="AH400" s="3"/>
      <c r="AI400" s="2"/>
      <c r="AJ400" s="2"/>
      <c r="AK400" s="2"/>
      <c r="AL400" s="2"/>
      <c r="AM400" s="2"/>
      <c r="AN400" s="2"/>
      <c r="AO400" s="2"/>
      <c r="AP400" s="100"/>
      <c r="AQ400" s="2"/>
      <c r="AR400" s="2"/>
      <c r="AS400" s="3"/>
    </row>
    <row r="401">
      <c r="A401" s="7" t="s">
        <v>62</v>
      </c>
      <c r="B401" s="53">
        <v>233000.0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54" t="str">
        <f t="shared" si="144"/>
        <v/>
      </c>
      <c r="W401" s="48">
        <f t="shared" si="145"/>
        <v>0</v>
      </c>
      <c r="X401" s="48">
        <f t="shared" si="146"/>
        <v>0</v>
      </c>
      <c r="Y401" s="49">
        <f t="shared" si="147"/>
        <v>0</v>
      </c>
      <c r="Z401" s="4"/>
      <c r="AA401" s="4"/>
      <c r="AB401" s="4"/>
      <c r="AC401" s="3"/>
      <c r="AD401" s="3"/>
      <c r="AE401" s="2"/>
      <c r="AF401" s="3"/>
      <c r="AG401" s="3"/>
      <c r="AH401" s="3"/>
      <c r="AI401" s="2"/>
      <c r="AJ401" s="2"/>
      <c r="AK401" s="2"/>
      <c r="AL401" s="2"/>
      <c r="AM401" s="2"/>
      <c r="AN401" s="2"/>
      <c r="AO401" s="2"/>
      <c r="AP401" s="100"/>
      <c r="AQ401" s="2"/>
      <c r="AR401" s="2"/>
      <c r="AS401" s="3"/>
    </row>
    <row r="402">
      <c r="A402" s="7" t="s">
        <v>63</v>
      </c>
      <c r="B402" s="8"/>
      <c r="C402" s="7"/>
      <c r="D402" s="47">
        <f t="shared" ref="D402:W402" si="148">SUM(D392:D401)</f>
        <v>5</v>
      </c>
      <c r="E402" s="47">
        <f t="shared" si="148"/>
        <v>0</v>
      </c>
      <c r="F402" s="47">
        <f t="shared" si="148"/>
        <v>0</v>
      </c>
      <c r="G402" s="47">
        <f t="shared" si="148"/>
        <v>36</v>
      </c>
      <c r="H402" s="47">
        <f t="shared" si="148"/>
        <v>0</v>
      </c>
      <c r="I402" s="47">
        <f t="shared" si="148"/>
        <v>11</v>
      </c>
      <c r="J402" s="47">
        <f t="shared" si="148"/>
        <v>0</v>
      </c>
      <c r="K402" s="47">
        <f t="shared" si="148"/>
        <v>25</v>
      </c>
      <c r="L402" s="47">
        <f t="shared" si="148"/>
        <v>0</v>
      </c>
      <c r="M402" s="47">
        <f t="shared" si="148"/>
        <v>10</v>
      </c>
      <c r="N402" s="47">
        <f t="shared" si="148"/>
        <v>0</v>
      </c>
      <c r="O402" s="47">
        <f t="shared" si="148"/>
        <v>4</v>
      </c>
      <c r="P402" s="47">
        <f t="shared" si="148"/>
        <v>0</v>
      </c>
      <c r="Q402" s="47">
        <f t="shared" si="148"/>
        <v>8</v>
      </c>
      <c r="R402" s="47">
        <f t="shared" si="148"/>
        <v>0</v>
      </c>
      <c r="S402" s="47">
        <f t="shared" si="148"/>
        <v>5</v>
      </c>
      <c r="T402" s="47">
        <f t="shared" si="148"/>
        <v>0</v>
      </c>
      <c r="U402" s="47">
        <f t="shared" si="148"/>
        <v>0</v>
      </c>
      <c r="V402" s="101">
        <f t="shared" si="148"/>
        <v>5</v>
      </c>
      <c r="W402" s="101">
        <f t="shared" si="148"/>
        <v>99</v>
      </c>
      <c r="X402" s="48">
        <f t="shared" si="146"/>
        <v>104</v>
      </c>
      <c r="Y402" s="102">
        <f>SUM(Y392:Y401)</f>
        <v>37481000</v>
      </c>
      <c r="Z402" s="4"/>
      <c r="AA402" s="4"/>
      <c r="AB402" s="4"/>
      <c r="AC402" s="3"/>
      <c r="AD402" s="3"/>
      <c r="AE402" s="2"/>
      <c r="AF402" s="3"/>
      <c r="AG402" s="3"/>
      <c r="AH402" s="3"/>
      <c r="AI402" s="2"/>
      <c r="AJ402" s="2"/>
      <c r="AK402" s="2"/>
      <c r="AL402" s="2"/>
      <c r="AM402" s="2"/>
      <c r="AN402" s="2"/>
      <c r="AO402" s="2"/>
      <c r="AP402" s="100"/>
      <c r="AQ402" s="2"/>
      <c r="AR402" s="2"/>
      <c r="AS402" s="3"/>
    </row>
    <row r="403">
      <c r="A403" s="7" t="s">
        <v>64</v>
      </c>
      <c r="B403" s="8"/>
      <c r="C403" s="7"/>
      <c r="D403" s="7"/>
      <c r="E403" s="7"/>
      <c r="F403" s="7"/>
      <c r="G403" s="47">
        <f>G402-H402</f>
        <v>36</v>
      </c>
      <c r="H403" s="7"/>
      <c r="I403" s="47">
        <f>I402-J402</f>
        <v>11</v>
      </c>
      <c r="J403" s="7"/>
      <c r="K403" s="47">
        <f>K402-L402</f>
        <v>25</v>
      </c>
      <c r="L403" s="7"/>
      <c r="M403" s="47">
        <f>M402-N402</f>
        <v>10</v>
      </c>
      <c r="N403" s="7"/>
      <c r="O403" s="47">
        <f>O402-P402</f>
        <v>4</v>
      </c>
      <c r="P403" s="7"/>
      <c r="Q403" s="47">
        <f>Q402-R402</f>
        <v>8</v>
      </c>
      <c r="R403" s="7"/>
      <c r="S403" s="47">
        <f>S402-T402</f>
        <v>5</v>
      </c>
      <c r="T403" s="7"/>
      <c r="U403" s="7"/>
      <c r="V403" s="54"/>
      <c r="W403" s="54"/>
      <c r="X403" s="48">
        <f>sum(X392:X402)</f>
        <v>208</v>
      </c>
      <c r="Y403" s="55"/>
      <c r="Z403" s="4"/>
      <c r="AA403" s="4"/>
      <c r="AB403" s="4"/>
      <c r="AC403" s="3"/>
      <c r="AD403" s="3"/>
      <c r="AE403" s="2"/>
      <c r="AF403" s="3"/>
      <c r="AG403" s="3"/>
      <c r="AH403" s="3"/>
      <c r="AI403" s="2"/>
      <c r="AJ403" s="2"/>
      <c r="AK403" s="2"/>
      <c r="AL403" s="2"/>
      <c r="AM403" s="2"/>
      <c r="AN403" s="2"/>
      <c r="AO403" s="2"/>
      <c r="AP403" s="100"/>
      <c r="AQ403" s="2"/>
      <c r="AR403" s="2"/>
      <c r="AS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4"/>
      <c r="AA404" s="4"/>
      <c r="AB404" s="4"/>
      <c r="AC404" s="3"/>
      <c r="AD404" s="3"/>
      <c r="AE404" s="2"/>
      <c r="AF404" s="3"/>
      <c r="AG404" s="3"/>
      <c r="AH404" s="3"/>
      <c r="AI404" s="2"/>
      <c r="AJ404" s="2"/>
      <c r="AK404" s="2"/>
      <c r="AL404" s="2"/>
      <c r="AM404" s="2"/>
      <c r="AN404" s="2"/>
      <c r="AO404" s="2"/>
      <c r="AP404" s="100"/>
      <c r="AQ404" s="2"/>
      <c r="AR404" s="2"/>
      <c r="AS404" s="3"/>
    </row>
    <row r="405">
      <c r="A405" s="7"/>
      <c r="B405" s="8"/>
      <c r="C405" s="7"/>
      <c r="D405" s="9">
        <v>46018.0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  <c r="X405" s="6"/>
      <c r="Y405" s="6"/>
      <c r="Z405" s="4"/>
      <c r="AA405" s="4"/>
      <c r="AB405" s="4"/>
      <c r="AC405" s="3"/>
      <c r="AD405" s="3"/>
      <c r="AE405" s="2"/>
      <c r="AF405" s="3"/>
      <c r="AG405" s="3"/>
      <c r="AH405" s="3"/>
      <c r="AI405" s="2"/>
      <c r="AJ405" s="2"/>
      <c r="AK405" s="2"/>
      <c r="AL405" s="2"/>
      <c r="AM405" s="2"/>
      <c r="AN405" s="2"/>
      <c r="AO405" s="2"/>
      <c r="AP405" s="100"/>
      <c r="AQ405" s="2"/>
      <c r="AR405" s="2"/>
      <c r="AS405" s="3"/>
    </row>
    <row r="406">
      <c r="A406" s="70" t="s">
        <v>6</v>
      </c>
      <c r="B406" s="34" t="b">
        <v>0</v>
      </c>
      <c r="C406" s="7"/>
      <c r="D406" s="71" t="s">
        <v>7</v>
      </c>
      <c r="E406" s="11"/>
      <c r="F406" s="7"/>
      <c r="G406" s="71" t="s">
        <v>8</v>
      </c>
      <c r="H406" s="11"/>
      <c r="I406" s="71" t="s">
        <v>9</v>
      </c>
      <c r="J406" s="11"/>
      <c r="K406" s="71" t="s">
        <v>10</v>
      </c>
      <c r="L406" s="11"/>
      <c r="M406" s="71" t="s">
        <v>11</v>
      </c>
      <c r="N406" s="11"/>
      <c r="O406" s="71" t="s">
        <v>12</v>
      </c>
      <c r="P406" s="11"/>
      <c r="Q406" s="71" t="s">
        <v>13</v>
      </c>
      <c r="R406" s="11"/>
      <c r="S406" s="71" t="s">
        <v>14</v>
      </c>
      <c r="T406" s="11"/>
      <c r="U406" s="35" t="s">
        <v>15</v>
      </c>
      <c r="V406" s="73" t="s">
        <v>16</v>
      </c>
      <c r="W406" s="10"/>
      <c r="X406" s="10"/>
      <c r="Y406" s="11"/>
      <c r="Z406" s="4"/>
      <c r="AA406" s="4"/>
      <c r="AB406" s="4"/>
      <c r="AC406" s="3"/>
      <c r="AD406" s="3"/>
      <c r="AE406" s="2"/>
      <c r="AF406" s="3"/>
      <c r="AG406" s="3"/>
      <c r="AH406" s="3"/>
      <c r="AI406" s="2"/>
      <c r="AJ406" s="2"/>
      <c r="AK406" s="2"/>
      <c r="AL406" s="2"/>
      <c r="AM406" s="2"/>
      <c r="AN406" s="2"/>
      <c r="AO406" s="2"/>
      <c r="AP406" s="100"/>
      <c r="AQ406" s="2"/>
      <c r="AR406" s="2"/>
      <c r="AS406" s="3"/>
    </row>
    <row r="407">
      <c r="A407" s="7"/>
      <c r="B407" s="34" t="s">
        <v>28</v>
      </c>
      <c r="C407" s="35" t="s">
        <v>29</v>
      </c>
      <c r="D407" s="35" t="s">
        <v>30</v>
      </c>
      <c r="E407" s="35" t="s">
        <v>31</v>
      </c>
      <c r="F407" s="35" t="s">
        <v>32</v>
      </c>
      <c r="G407" s="35" t="s">
        <v>33</v>
      </c>
      <c r="H407" s="35" t="s">
        <v>31</v>
      </c>
      <c r="I407" s="35" t="s">
        <v>33</v>
      </c>
      <c r="J407" s="35" t="s">
        <v>31</v>
      </c>
      <c r="K407" s="35" t="s">
        <v>33</v>
      </c>
      <c r="L407" s="35" t="s">
        <v>31</v>
      </c>
      <c r="M407" s="35" t="s">
        <v>33</v>
      </c>
      <c r="N407" s="35" t="s">
        <v>31</v>
      </c>
      <c r="O407" s="35" t="s">
        <v>33</v>
      </c>
      <c r="P407" s="35" t="s">
        <v>31</v>
      </c>
      <c r="Q407" s="35" t="s">
        <v>33</v>
      </c>
      <c r="R407" s="35" t="s">
        <v>31</v>
      </c>
      <c r="S407" s="35" t="s">
        <v>33</v>
      </c>
      <c r="T407" s="35" t="s">
        <v>31</v>
      </c>
      <c r="U407" s="35" t="s">
        <v>34</v>
      </c>
      <c r="V407" s="36" t="s">
        <v>7</v>
      </c>
      <c r="W407" s="36" t="s">
        <v>35</v>
      </c>
      <c r="X407" s="36" t="s">
        <v>36</v>
      </c>
      <c r="Y407" s="36" t="s">
        <v>37</v>
      </c>
      <c r="Z407" s="4"/>
      <c r="AA407" s="4"/>
      <c r="AB407" s="4"/>
      <c r="AC407" s="3"/>
      <c r="AD407" s="3"/>
      <c r="AE407" s="2"/>
      <c r="AF407" s="3"/>
      <c r="AG407" s="3"/>
      <c r="AH407" s="3"/>
      <c r="AI407" s="2"/>
      <c r="AJ407" s="2"/>
      <c r="AK407" s="2"/>
      <c r="AL407" s="2"/>
      <c r="AM407" s="2"/>
      <c r="AN407" s="2"/>
      <c r="AO407" s="2"/>
      <c r="AP407" s="100"/>
      <c r="AQ407" s="2"/>
      <c r="AR407" s="2"/>
      <c r="AS407" s="3"/>
    </row>
    <row r="408">
      <c r="A408" s="7" t="s">
        <v>42</v>
      </c>
      <c r="B408" s="46">
        <v>335000.0</v>
      </c>
      <c r="C408" s="7"/>
      <c r="D408" s="47">
        <v>1.0</v>
      </c>
      <c r="E408" s="7"/>
      <c r="F408" s="7"/>
      <c r="G408" s="47">
        <v>13.0</v>
      </c>
      <c r="H408" s="7"/>
      <c r="I408" s="47">
        <v>8.0</v>
      </c>
      <c r="J408" s="7"/>
      <c r="K408" s="47">
        <v>22.0</v>
      </c>
      <c r="L408" s="7"/>
      <c r="M408" s="47">
        <v>6.0</v>
      </c>
      <c r="N408" s="7"/>
      <c r="O408" s="47">
        <v>3.0</v>
      </c>
      <c r="P408" s="47">
        <v>1.0</v>
      </c>
      <c r="Q408" s="47">
        <v>1.0</v>
      </c>
      <c r="R408" s="7"/>
      <c r="S408" s="7"/>
      <c r="T408" s="7"/>
      <c r="U408" s="7"/>
      <c r="V408" s="48">
        <f t="shared" ref="V408:V417" si="149">D408</f>
        <v>1</v>
      </c>
      <c r="W408" s="48">
        <f t="shared" ref="W408:W417" si="150">G408+I408+K408+M408+O408+Q408+S408</f>
        <v>53</v>
      </c>
      <c r="X408" s="48">
        <f t="shared" ref="X408:X418" si="151">V408+W408</f>
        <v>54</v>
      </c>
      <c r="Y408" s="49">
        <f t="shared" ref="Y408:Y417" si="152">B408*X408</f>
        <v>18090000</v>
      </c>
      <c r="Z408" s="4"/>
      <c r="AA408" s="4"/>
      <c r="AB408" s="4"/>
      <c r="AC408" s="3"/>
      <c r="AD408" s="3"/>
      <c r="AE408" s="2"/>
      <c r="AF408" s="3"/>
      <c r="AG408" s="3"/>
      <c r="AH408" s="3"/>
      <c r="AI408" s="2"/>
      <c r="AJ408" s="2"/>
      <c r="AK408" s="2"/>
      <c r="AL408" s="2"/>
      <c r="AM408" s="2"/>
      <c r="AN408" s="2"/>
      <c r="AO408" s="2"/>
      <c r="AP408" s="100"/>
      <c r="AQ408" s="2"/>
      <c r="AR408" s="2"/>
      <c r="AS408" s="3"/>
    </row>
    <row r="409">
      <c r="A409" s="7" t="s">
        <v>45</v>
      </c>
      <c r="B409" s="13">
        <v>395000.0</v>
      </c>
      <c r="C409" s="6"/>
      <c r="D409" s="7"/>
      <c r="E409" s="7"/>
      <c r="F409" s="7"/>
      <c r="G409" s="47">
        <v>17.0</v>
      </c>
      <c r="H409" s="7"/>
      <c r="I409" s="47">
        <v>3.0</v>
      </c>
      <c r="J409" s="7"/>
      <c r="K409" s="7"/>
      <c r="L409" s="7"/>
      <c r="M409" s="47">
        <v>3.0</v>
      </c>
      <c r="N409" s="7"/>
      <c r="O409" s="47">
        <v>1.0</v>
      </c>
      <c r="P409" s="47">
        <v>1.0</v>
      </c>
      <c r="Q409" s="47">
        <v>3.0</v>
      </c>
      <c r="R409" s="7"/>
      <c r="S409" s="7"/>
      <c r="T409" s="7"/>
      <c r="U409" s="7"/>
      <c r="V409" s="54" t="str">
        <f t="shared" si="149"/>
        <v/>
      </c>
      <c r="W409" s="48">
        <f t="shared" si="150"/>
        <v>27</v>
      </c>
      <c r="X409" s="48">
        <f t="shared" si="151"/>
        <v>27</v>
      </c>
      <c r="Y409" s="49">
        <f t="shared" si="152"/>
        <v>10665000</v>
      </c>
      <c r="Z409" s="4"/>
      <c r="AA409" s="4"/>
      <c r="AB409" s="4"/>
      <c r="AC409" s="3"/>
      <c r="AD409" s="3"/>
      <c r="AE409" s="2"/>
      <c r="AF409" s="3"/>
      <c r="AG409" s="3"/>
      <c r="AH409" s="3"/>
      <c r="AI409" s="2"/>
      <c r="AJ409" s="2"/>
      <c r="AK409" s="2"/>
      <c r="AL409" s="2"/>
      <c r="AM409" s="2"/>
      <c r="AN409" s="2"/>
      <c r="AO409" s="2"/>
      <c r="AP409" s="100"/>
      <c r="AQ409" s="2"/>
      <c r="AR409" s="2"/>
      <c r="AS409" s="3"/>
    </row>
    <row r="410">
      <c r="A410" s="7" t="s">
        <v>48</v>
      </c>
      <c r="B410" s="46">
        <v>450000.0</v>
      </c>
      <c r="C410" s="7"/>
      <c r="D410" s="47">
        <v>1.0</v>
      </c>
      <c r="E410" s="7"/>
      <c r="F410" s="7"/>
      <c r="G410" s="47">
        <v>1.0</v>
      </c>
      <c r="H410" s="7"/>
      <c r="I410" s="7"/>
      <c r="J410" s="7"/>
      <c r="K410" s="47">
        <v>3.0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48">
        <f t="shared" si="149"/>
        <v>1</v>
      </c>
      <c r="W410" s="48">
        <f t="shared" si="150"/>
        <v>4</v>
      </c>
      <c r="X410" s="48">
        <f t="shared" si="151"/>
        <v>5</v>
      </c>
      <c r="Y410" s="49">
        <f t="shared" si="152"/>
        <v>2250000</v>
      </c>
      <c r="Z410" s="4"/>
      <c r="AA410" s="4"/>
      <c r="AB410" s="4"/>
      <c r="AC410" s="3"/>
      <c r="AD410" s="3"/>
      <c r="AE410" s="2"/>
      <c r="AF410" s="3"/>
      <c r="AG410" s="3"/>
      <c r="AH410" s="3"/>
      <c r="AI410" s="2"/>
      <c r="AJ410" s="2"/>
      <c r="AK410" s="2"/>
      <c r="AL410" s="2"/>
      <c r="AM410" s="2"/>
      <c r="AN410" s="2"/>
      <c r="AO410" s="2"/>
      <c r="AP410" s="100"/>
      <c r="AQ410" s="2"/>
      <c r="AR410" s="2"/>
      <c r="AS410" s="3"/>
    </row>
    <row r="411">
      <c r="A411" s="7" t="s">
        <v>50</v>
      </c>
      <c r="B411" s="46">
        <v>575000.0</v>
      </c>
      <c r="C411" s="7"/>
      <c r="D411" s="47">
        <v>1.0</v>
      </c>
      <c r="E411" s="7"/>
      <c r="F411" s="7"/>
      <c r="G411" s="47">
        <v>5.0</v>
      </c>
      <c r="H411" s="7"/>
      <c r="I411" s="7"/>
      <c r="J411" s="7"/>
      <c r="K411" s="7"/>
      <c r="L411" s="7"/>
      <c r="M411" s="47">
        <v>1.0</v>
      </c>
      <c r="N411" s="7"/>
      <c r="O411" s="7"/>
      <c r="P411" s="7"/>
      <c r="Q411" s="7"/>
      <c r="R411" s="7"/>
      <c r="S411" s="7"/>
      <c r="T411" s="7"/>
      <c r="U411" s="7"/>
      <c r="V411" s="48">
        <f t="shared" si="149"/>
        <v>1</v>
      </c>
      <c r="W411" s="48">
        <f t="shared" si="150"/>
        <v>6</v>
      </c>
      <c r="X411" s="48">
        <f t="shared" si="151"/>
        <v>7</v>
      </c>
      <c r="Y411" s="49">
        <f t="shared" si="152"/>
        <v>4025000</v>
      </c>
      <c r="Z411" s="4"/>
      <c r="AA411" s="4"/>
      <c r="AB411" s="4"/>
      <c r="AC411" s="3"/>
      <c r="AD411" s="3"/>
      <c r="AE411" s="2"/>
      <c r="AF411" s="3"/>
      <c r="AG411" s="3"/>
      <c r="AH411" s="3"/>
      <c r="AI411" s="2"/>
      <c r="AJ411" s="2"/>
      <c r="AK411" s="2"/>
      <c r="AL411" s="2"/>
      <c r="AM411" s="2"/>
      <c r="AN411" s="2"/>
      <c r="AO411" s="2"/>
      <c r="AP411" s="100"/>
      <c r="AQ411" s="2"/>
      <c r="AR411" s="2"/>
      <c r="AS411" s="3"/>
    </row>
    <row r="412">
      <c r="A412" s="7" t="s">
        <v>53</v>
      </c>
      <c r="B412" s="53">
        <v>262000.0</v>
      </c>
      <c r="C412" s="7"/>
      <c r="D412" s="47">
        <v>1.0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47">
        <v>1.0</v>
      </c>
      <c r="R412" s="7"/>
      <c r="S412" s="47">
        <v>1.0</v>
      </c>
      <c r="T412" s="7"/>
      <c r="U412" s="7"/>
      <c r="V412" s="48">
        <f t="shared" si="149"/>
        <v>1</v>
      </c>
      <c r="W412" s="48">
        <f t="shared" si="150"/>
        <v>2</v>
      </c>
      <c r="X412" s="48">
        <f t="shared" si="151"/>
        <v>3</v>
      </c>
      <c r="Y412" s="49">
        <f t="shared" si="152"/>
        <v>786000</v>
      </c>
      <c r="Z412" s="4"/>
      <c r="AA412" s="4"/>
      <c r="AB412" s="4"/>
      <c r="AC412" s="3"/>
      <c r="AD412" s="3"/>
      <c r="AE412" s="2"/>
      <c r="AF412" s="3"/>
      <c r="AG412" s="3"/>
      <c r="AH412" s="3"/>
      <c r="AI412" s="2"/>
      <c r="AJ412" s="2"/>
      <c r="AK412" s="2"/>
      <c r="AL412" s="2"/>
      <c r="AM412" s="2"/>
      <c r="AN412" s="2"/>
      <c r="AO412" s="2"/>
      <c r="AP412" s="100"/>
      <c r="AQ412" s="2"/>
      <c r="AR412" s="2"/>
      <c r="AS412" s="3"/>
    </row>
    <row r="413">
      <c r="A413" s="7" t="s">
        <v>55</v>
      </c>
      <c r="B413" s="53">
        <v>185000.0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47">
        <v>1.0</v>
      </c>
      <c r="T413" s="7"/>
      <c r="U413" s="7"/>
      <c r="V413" s="54" t="str">
        <f t="shared" si="149"/>
        <v/>
      </c>
      <c r="W413" s="48">
        <f t="shared" si="150"/>
        <v>1</v>
      </c>
      <c r="X413" s="48">
        <f t="shared" si="151"/>
        <v>1</v>
      </c>
      <c r="Y413" s="49">
        <f t="shared" si="152"/>
        <v>185000</v>
      </c>
      <c r="Z413" s="4"/>
      <c r="AA413" s="4"/>
      <c r="AB413" s="4"/>
      <c r="AC413" s="3"/>
      <c r="AD413" s="3"/>
      <c r="AE413" s="2"/>
      <c r="AF413" s="3"/>
      <c r="AG413" s="3"/>
      <c r="AH413" s="3"/>
      <c r="AI413" s="2"/>
      <c r="AJ413" s="2"/>
      <c r="AK413" s="2"/>
      <c r="AL413" s="2"/>
      <c r="AM413" s="2"/>
      <c r="AN413" s="2"/>
      <c r="AO413" s="2"/>
      <c r="AP413" s="100"/>
      <c r="AQ413" s="2"/>
      <c r="AR413" s="2"/>
      <c r="AS413" s="3"/>
    </row>
    <row r="414">
      <c r="A414" s="7" t="s">
        <v>57</v>
      </c>
      <c r="B414" s="53">
        <v>242000.0</v>
      </c>
      <c r="C414" s="7"/>
      <c r="D414" s="47">
        <v>1.0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47">
        <v>1.0</v>
      </c>
      <c r="R414" s="7"/>
      <c r="S414" s="47">
        <v>1.0</v>
      </c>
      <c r="T414" s="7"/>
      <c r="U414" s="7"/>
      <c r="V414" s="48">
        <f t="shared" si="149"/>
        <v>1</v>
      </c>
      <c r="W414" s="48">
        <f t="shared" si="150"/>
        <v>2</v>
      </c>
      <c r="X414" s="48">
        <f t="shared" si="151"/>
        <v>3</v>
      </c>
      <c r="Y414" s="49">
        <f t="shared" si="152"/>
        <v>726000</v>
      </c>
      <c r="Z414" s="4"/>
      <c r="AA414" s="4"/>
      <c r="AB414" s="4"/>
      <c r="AC414" s="3"/>
      <c r="AD414" s="3"/>
      <c r="AE414" s="2"/>
      <c r="AF414" s="3"/>
      <c r="AG414" s="3"/>
      <c r="AH414" s="3"/>
      <c r="AI414" s="2"/>
      <c r="AJ414" s="2"/>
      <c r="AK414" s="2"/>
      <c r="AL414" s="2"/>
      <c r="AM414" s="2"/>
      <c r="AN414" s="2"/>
      <c r="AO414" s="2"/>
      <c r="AP414" s="100"/>
      <c r="AQ414" s="2"/>
      <c r="AR414" s="2"/>
      <c r="AS414" s="3"/>
    </row>
    <row r="415">
      <c r="A415" s="7" t="s">
        <v>60</v>
      </c>
      <c r="B415" s="53">
        <v>202000.0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47">
        <v>1.0</v>
      </c>
      <c r="R415" s="7"/>
      <c r="S415" s="47">
        <v>1.0</v>
      </c>
      <c r="T415" s="7"/>
      <c r="U415" s="7"/>
      <c r="V415" s="54" t="str">
        <f t="shared" si="149"/>
        <v/>
      </c>
      <c r="W415" s="48">
        <f t="shared" si="150"/>
        <v>2</v>
      </c>
      <c r="X415" s="48">
        <f t="shared" si="151"/>
        <v>2</v>
      </c>
      <c r="Y415" s="49">
        <f t="shared" si="152"/>
        <v>404000</v>
      </c>
      <c r="Z415" s="4"/>
      <c r="AA415" s="4"/>
      <c r="AB415" s="4"/>
      <c r="AC415" s="3"/>
      <c r="AD415" s="3"/>
      <c r="AE415" s="2"/>
      <c r="AF415" s="3"/>
      <c r="AG415" s="3"/>
      <c r="AH415" s="3"/>
      <c r="AI415" s="2"/>
      <c r="AJ415" s="2"/>
      <c r="AK415" s="2"/>
      <c r="AL415" s="2"/>
      <c r="AM415" s="2"/>
      <c r="AN415" s="2"/>
      <c r="AO415" s="2"/>
      <c r="AP415" s="100"/>
      <c r="AQ415" s="2"/>
      <c r="AR415" s="2"/>
      <c r="AS415" s="3"/>
    </row>
    <row r="416">
      <c r="A416" s="7" t="s">
        <v>61</v>
      </c>
      <c r="B416" s="53">
        <v>175000.0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47">
        <v>1.0</v>
      </c>
      <c r="R416" s="7"/>
      <c r="S416" s="47">
        <v>1.0</v>
      </c>
      <c r="T416" s="7"/>
      <c r="U416" s="7"/>
      <c r="V416" s="54" t="str">
        <f t="shared" si="149"/>
        <v/>
      </c>
      <c r="W416" s="48">
        <f t="shared" si="150"/>
        <v>2</v>
      </c>
      <c r="X416" s="48">
        <f t="shared" si="151"/>
        <v>2</v>
      </c>
      <c r="Y416" s="49">
        <f t="shared" si="152"/>
        <v>350000</v>
      </c>
      <c r="Z416" s="4"/>
      <c r="AA416" s="4"/>
      <c r="AB416" s="4"/>
      <c r="AC416" s="3"/>
      <c r="AD416" s="3"/>
      <c r="AE416" s="2"/>
      <c r="AF416" s="3"/>
      <c r="AG416" s="3"/>
      <c r="AH416" s="3"/>
      <c r="AI416" s="2"/>
      <c r="AJ416" s="2"/>
      <c r="AK416" s="2"/>
      <c r="AL416" s="2"/>
      <c r="AM416" s="2"/>
      <c r="AN416" s="2"/>
      <c r="AO416" s="2"/>
      <c r="AP416" s="100"/>
      <c r="AQ416" s="2"/>
      <c r="AR416" s="2"/>
      <c r="AS416" s="3"/>
    </row>
    <row r="417">
      <c r="A417" s="7" t="s">
        <v>62</v>
      </c>
      <c r="B417" s="53">
        <v>233000.0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54" t="str">
        <f t="shared" si="149"/>
        <v/>
      </c>
      <c r="W417" s="48">
        <f t="shared" si="150"/>
        <v>0</v>
      </c>
      <c r="X417" s="48">
        <f t="shared" si="151"/>
        <v>0</v>
      </c>
      <c r="Y417" s="49">
        <f t="shared" si="152"/>
        <v>0</v>
      </c>
      <c r="Z417" s="4"/>
      <c r="AA417" s="4"/>
      <c r="AB417" s="4"/>
      <c r="AC417" s="3"/>
      <c r="AD417" s="3"/>
      <c r="AE417" s="2"/>
      <c r="AF417" s="3"/>
      <c r="AG417" s="3"/>
      <c r="AH417" s="3"/>
      <c r="AI417" s="2"/>
      <c r="AJ417" s="2"/>
      <c r="AK417" s="2"/>
      <c r="AL417" s="2"/>
      <c r="AM417" s="2"/>
      <c r="AN417" s="2"/>
      <c r="AO417" s="2"/>
      <c r="AP417" s="100"/>
      <c r="AQ417" s="2"/>
      <c r="AR417" s="2"/>
      <c r="AS417" s="3"/>
    </row>
    <row r="418">
      <c r="A418" s="7" t="s">
        <v>63</v>
      </c>
      <c r="B418" s="8"/>
      <c r="C418" s="7"/>
      <c r="D418" s="47">
        <f t="shared" ref="D418:W418" si="153">SUM(D408:D417)</f>
        <v>5</v>
      </c>
      <c r="E418" s="47">
        <f t="shared" si="153"/>
        <v>0</v>
      </c>
      <c r="F418" s="47">
        <f t="shared" si="153"/>
        <v>0</v>
      </c>
      <c r="G418" s="47">
        <f t="shared" si="153"/>
        <v>36</v>
      </c>
      <c r="H418" s="47">
        <f t="shared" si="153"/>
        <v>0</v>
      </c>
      <c r="I418" s="47">
        <f t="shared" si="153"/>
        <v>11</v>
      </c>
      <c r="J418" s="47">
        <f t="shared" si="153"/>
        <v>0</v>
      </c>
      <c r="K418" s="47">
        <f t="shared" si="153"/>
        <v>25</v>
      </c>
      <c r="L418" s="47">
        <f t="shared" si="153"/>
        <v>0</v>
      </c>
      <c r="M418" s="47">
        <f t="shared" si="153"/>
        <v>10</v>
      </c>
      <c r="N418" s="47">
        <f t="shared" si="153"/>
        <v>0</v>
      </c>
      <c r="O418" s="47">
        <f t="shared" si="153"/>
        <v>4</v>
      </c>
      <c r="P418" s="47">
        <f t="shared" si="153"/>
        <v>2</v>
      </c>
      <c r="Q418" s="47">
        <f t="shared" si="153"/>
        <v>8</v>
      </c>
      <c r="R418" s="47">
        <f t="shared" si="153"/>
        <v>0</v>
      </c>
      <c r="S418" s="47">
        <f t="shared" si="153"/>
        <v>5</v>
      </c>
      <c r="T418" s="47">
        <f t="shared" si="153"/>
        <v>0</v>
      </c>
      <c r="U418" s="47">
        <f t="shared" si="153"/>
        <v>0</v>
      </c>
      <c r="V418" s="101">
        <f t="shared" si="153"/>
        <v>5</v>
      </c>
      <c r="W418" s="101">
        <f t="shared" si="153"/>
        <v>99</v>
      </c>
      <c r="X418" s="48">
        <f t="shared" si="151"/>
        <v>104</v>
      </c>
      <c r="Y418" s="102">
        <f>SUM(Y408:Y417)</f>
        <v>37481000</v>
      </c>
      <c r="Z418" s="4"/>
      <c r="AA418" s="4"/>
      <c r="AB418" s="4"/>
      <c r="AC418" s="3"/>
      <c r="AD418" s="3"/>
      <c r="AE418" s="2"/>
      <c r="AF418" s="3"/>
      <c r="AG418" s="3"/>
      <c r="AH418" s="3"/>
      <c r="AI418" s="2"/>
      <c r="AJ418" s="2"/>
      <c r="AK418" s="2"/>
      <c r="AL418" s="2"/>
      <c r="AM418" s="2"/>
      <c r="AN418" s="2"/>
      <c r="AO418" s="2"/>
      <c r="AP418" s="100"/>
      <c r="AQ418" s="2"/>
      <c r="AR418" s="2"/>
      <c r="AS418" s="3"/>
    </row>
    <row r="419">
      <c r="A419" s="7" t="s">
        <v>64</v>
      </c>
      <c r="B419" s="8"/>
      <c r="C419" s="7"/>
      <c r="D419" s="7"/>
      <c r="E419" s="7"/>
      <c r="F419" s="7"/>
      <c r="G419" s="47">
        <f>G418-H418</f>
        <v>36</v>
      </c>
      <c r="H419" s="7"/>
      <c r="I419" s="47">
        <f>I418-J418</f>
        <v>11</v>
      </c>
      <c r="J419" s="7"/>
      <c r="K419" s="47">
        <f>K418-L418</f>
        <v>25</v>
      </c>
      <c r="L419" s="7"/>
      <c r="M419" s="47">
        <f>M418-N418</f>
        <v>10</v>
      </c>
      <c r="N419" s="7"/>
      <c r="O419" s="47">
        <f>O418-P418</f>
        <v>2</v>
      </c>
      <c r="P419" s="7"/>
      <c r="Q419" s="47">
        <f>Q418-R418</f>
        <v>8</v>
      </c>
      <c r="R419" s="7"/>
      <c r="S419" s="47">
        <f>S418-T418</f>
        <v>5</v>
      </c>
      <c r="T419" s="7"/>
      <c r="U419" s="7"/>
      <c r="V419" s="54"/>
      <c r="W419" s="54"/>
      <c r="X419" s="48">
        <f>sum(X408:X418)</f>
        <v>208</v>
      </c>
      <c r="Y419" s="55"/>
      <c r="Z419" s="4"/>
      <c r="AA419" s="4"/>
      <c r="AB419" s="4"/>
      <c r="AC419" s="3"/>
      <c r="AD419" s="3"/>
      <c r="AE419" s="2"/>
      <c r="AF419" s="3"/>
      <c r="AG419" s="3"/>
      <c r="AH419" s="3"/>
      <c r="AI419" s="2"/>
      <c r="AJ419" s="2"/>
      <c r="AK419" s="2"/>
      <c r="AL419" s="2"/>
      <c r="AM419" s="2"/>
      <c r="AN419" s="2"/>
      <c r="AO419" s="2"/>
      <c r="AP419" s="100"/>
      <c r="AQ419" s="2"/>
      <c r="AR419" s="2"/>
      <c r="AS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4"/>
      <c r="AA420" s="4"/>
      <c r="AB420" s="4"/>
      <c r="AC420" s="3"/>
      <c r="AD420" s="3"/>
      <c r="AE420" s="2"/>
      <c r="AF420" s="3"/>
      <c r="AG420" s="3"/>
      <c r="AH420" s="3"/>
      <c r="AI420" s="2"/>
      <c r="AJ420" s="2"/>
      <c r="AK420" s="2"/>
      <c r="AL420" s="2"/>
      <c r="AM420" s="2"/>
      <c r="AN420" s="2"/>
      <c r="AO420" s="2"/>
      <c r="AP420" s="100"/>
      <c r="AQ420" s="2"/>
      <c r="AR420" s="2"/>
      <c r="AS420" s="3"/>
    </row>
    <row r="421">
      <c r="A421" s="7"/>
      <c r="B421" s="8"/>
      <c r="C421" s="7"/>
      <c r="D421" s="9">
        <v>46019.0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  <c r="X421" s="6"/>
      <c r="Y421" s="6"/>
      <c r="Z421" s="4"/>
      <c r="AA421" s="4"/>
      <c r="AB421" s="4"/>
      <c r="AC421" s="3"/>
      <c r="AD421" s="3"/>
      <c r="AE421" s="2"/>
      <c r="AF421" s="3"/>
      <c r="AG421" s="3"/>
      <c r="AH421" s="3"/>
      <c r="AI421" s="2"/>
      <c r="AJ421" s="2"/>
      <c r="AK421" s="2"/>
      <c r="AL421" s="2"/>
      <c r="AM421" s="2"/>
      <c r="AN421" s="2"/>
      <c r="AO421" s="2"/>
      <c r="AP421" s="100"/>
      <c r="AQ421" s="2"/>
      <c r="AR421" s="2"/>
      <c r="AS421" s="3"/>
    </row>
    <row r="422">
      <c r="A422" s="70" t="s">
        <v>6</v>
      </c>
      <c r="B422" s="34" t="b">
        <v>0</v>
      </c>
      <c r="C422" s="7"/>
      <c r="D422" s="71" t="s">
        <v>7</v>
      </c>
      <c r="E422" s="11"/>
      <c r="F422" s="7"/>
      <c r="G422" s="71" t="s">
        <v>8</v>
      </c>
      <c r="H422" s="11"/>
      <c r="I422" s="71" t="s">
        <v>9</v>
      </c>
      <c r="J422" s="11"/>
      <c r="K422" s="71" t="s">
        <v>10</v>
      </c>
      <c r="L422" s="11"/>
      <c r="M422" s="71" t="s">
        <v>11</v>
      </c>
      <c r="N422" s="11"/>
      <c r="O422" s="71" t="s">
        <v>12</v>
      </c>
      <c r="P422" s="11"/>
      <c r="Q422" s="71" t="s">
        <v>13</v>
      </c>
      <c r="R422" s="11"/>
      <c r="S422" s="71" t="s">
        <v>14</v>
      </c>
      <c r="T422" s="11"/>
      <c r="U422" s="35" t="s">
        <v>15</v>
      </c>
      <c r="V422" s="73" t="s">
        <v>16</v>
      </c>
      <c r="W422" s="10"/>
      <c r="X422" s="10"/>
      <c r="Y422" s="11"/>
      <c r="Z422" s="4"/>
      <c r="AA422" s="4"/>
      <c r="AB422" s="4"/>
      <c r="AC422" s="3"/>
      <c r="AD422" s="3"/>
      <c r="AE422" s="2"/>
      <c r="AF422" s="3"/>
      <c r="AG422" s="3"/>
      <c r="AH422" s="3"/>
      <c r="AI422" s="2"/>
      <c r="AJ422" s="2"/>
      <c r="AK422" s="2"/>
      <c r="AL422" s="2"/>
      <c r="AM422" s="2"/>
      <c r="AN422" s="2"/>
      <c r="AO422" s="2"/>
      <c r="AP422" s="100"/>
      <c r="AQ422" s="2"/>
      <c r="AR422" s="2"/>
      <c r="AS422" s="3"/>
    </row>
    <row r="423">
      <c r="A423" s="7"/>
      <c r="B423" s="34" t="s">
        <v>28</v>
      </c>
      <c r="C423" s="35" t="s">
        <v>29</v>
      </c>
      <c r="D423" s="35" t="s">
        <v>30</v>
      </c>
      <c r="E423" s="35" t="s">
        <v>31</v>
      </c>
      <c r="F423" s="35" t="s">
        <v>32</v>
      </c>
      <c r="G423" s="35" t="s">
        <v>33</v>
      </c>
      <c r="H423" s="35" t="s">
        <v>31</v>
      </c>
      <c r="I423" s="35" t="s">
        <v>33</v>
      </c>
      <c r="J423" s="35" t="s">
        <v>31</v>
      </c>
      <c r="K423" s="35" t="s">
        <v>33</v>
      </c>
      <c r="L423" s="35" t="s">
        <v>31</v>
      </c>
      <c r="M423" s="35" t="s">
        <v>33</v>
      </c>
      <c r="N423" s="35" t="s">
        <v>31</v>
      </c>
      <c r="O423" s="35" t="s">
        <v>33</v>
      </c>
      <c r="P423" s="35" t="s">
        <v>31</v>
      </c>
      <c r="Q423" s="35" t="s">
        <v>33</v>
      </c>
      <c r="R423" s="35" t="s">
        <v>31</v>
      </c>
      <c r="S423" s="35" t="s">
        <v>33</v>
      </c>
      <c r="T423" s="35" t="s">
        <v>31</v>
      </c>
      <c r="U423" s="35" t="s">
        <v>34</v>
      </c>
      <c r="V423" s="36" t="s">
        <v>7</v>
      </c>
      <c r="W423" s="36" t="s">
        <v>35</v>
      </c>
      <c r="X423" s="36" t="s">
        <v>36</v>
      </c>
      <c r="Y423" s="36" t="s">
        <v>37</v>
      </c>
      <c r="Z423" s="4"/>
      <c r="AA423" s="4"/>
      <c r="AB423" s="4"/>
      <c r="AC423" s="3"/>
      <c r="AD423" s="3"/>
      <c r="AE423" s="2"/>
      <c r="AF423" s="3"/>
      <c r="AG423" s="3"/>
      <c r="AH423" s="3"/>
      <c r="AI423" s="2"/>
      <c r="AJ423" s="2"/>
      <c r="AK423" s="2"/>
      <c r="AL423" s="2"/>
      <c r="AM423" s="2"/>
      <c r="AN423" s="2"/>
      <c r="AO423" s="2"/>
      <c r="AP423" s="100"/>
      <c r="AQ423" s="2"/>
      <c r="AR423" s="2"/>
      <c r="AS423" s="3"/>
    </row>
    <row r="424">
      <c r="A424" s="7" t="s">
        <v>42</v>
      </c>
      <c r="B424" s="46">
        <v>335000.0</v>
      </c>
      <c r="C424" s="7"/>
      <c r="D424" s="47">
        <v>1.0</v>
      </c>
      <c r="E424" s="7"/>
      <c r="F424" s="7"/>
      <c r="G424" s="47">
        <v>13.0</v>
      </c>
      <c r="H424" s="7"/>
      <c r="I424" s="47">
        <v>8.0</v>
      </c>
      <c r="J424" s="7"/>
      <c r="K424" s="47">
        <v>22.0</v>
      </c>
      <c r="L424" s="7"/>
      <c r="M424" s="47">
        <v>6.0</v>
      </c>
      <c r="N424" s="7"/>
      <c r="O424" s="47">
        <v>2.0</v>
      </c>
      <c r="P424" s="7"/>
      <c r="Q424" s="47">
        <v>1.0</v>
      </c>
      <c r="R424" s="7"/>
      <c r="S424" s="7"/>
      <c r="T424" s="7"/>
      <c r="U424" s="7"/>
      <c r="V424" s="48">
        <f t="shared" ref="V424:V433" si="154">D424</f>
        <v>1</v>
      </c>
      <c r="W424" s="48">
        <f t="shared" ref="W424:W433" si="155">G424+I424+K424+M424+O424+Q424+S424</f>
        <v>52</v>
      </c>
      <c r="X424" s="48">
        <f t="shared" ref="X424:X434" si="156">V424+W424</f>
        <v>53</v>
      </c>
      <c r="Y424" s="49">
        <f t="shared" ref="Y424:Y433" si="157">B424*X424</f>
        <v>17755000</v>
      </c>
      <c r="Z424" s="4"/>
      <c r="AA424" s="4"/>
      <c r="AB424" s="4"/>
      <c r="AC424" s="3"/>
      <c r="AD424" s="3"/>
      <c r="AE424" s="2"/>
      <c r="AF424" s="3"/>
      <c r="AG424" s="3"/>
      <c r="AH424" s="3"/>
      <c r="AI424" s="2"/>
      <c r="AJ424" s="2"/>
      <c r="AK424" s="2"/>
      <c r="AL424" s="2"/>
      <c r="AM424" s="2"/>
      <c r="AN424" s="2"/>
      <c r="AO424" s="2"/>
      <c r="AP424" s="100"/>
      <c r="AQ424" s="2"/>
      <c r="AR424" s="2"/>
      <c r="AS424" s="3"/>
    </row>
    <row r="425">
      <c r="A425" s="7" t="s">
        <v>45</v>
      </c>
      <c r="B425" s="13">
        <v>395000.0</v>
      </c>
      <c r="C425" s="6"/>
      <c r="D425" s="7"/>
      <c r="E425" s="7"/>
      <c r="F425" s="7"/>
      <c r="G425" s="47">
        <v>17.0</v>
      </c>
      <c r="H425" s="7"/>
      <c r="I425" s="47">
        <v>3.0</v>
      </c>
      <c r="J425" s="7"/>
      <c r="K425" s="7"/>
      <c r="L425" s="7"/>
      <c r="M425" s="47">
        <v>3.0</v>
      </c>
      <c r="N425" s="7"/>
      <c r="O425" s="7"/>
      <c r="P425" s="7"/>
      <c r="Q425" s="47">
        <v>3.0</v>
      </c>
      <c r="R425" s="7"/>
      <c r="S425" s="7"/>
      <c r="T425" s="7"/>
      <c r="U425" s="7"/>
      <c r="V425" s="54" t="str">
        <f t="shared" si="154"/>
        <v/>
      </c>
      <c r="W425" s="48">
        <f t="shared" si="155"/>
        <v>26</v>
      </c>
      <c r="X425" s="48">
        <f t="shared" si="156"/>
        <v>26</v>
      </c>
      <c r="Y425" s="49">
        <f t="shared" si="157"/>
        <v>10270000</v>
      </c>
      <c r="Z425" s="4"/>
      <c r="AA425" s="4"/>
      <c r="AB425" s="4"/>
      <c r="AC425" s="3"/>
      <c r="AD425" s="3"/>
      <c r="AE425" s="2"/>
      <c r="AF425" s="3"/>
      <c r="AG425" s="3"/>
      <c r="AH425" s="3"/>
      <c r="AI425" s="2"/>
      <c r="AJ425" s="2"/>
      <c r="AK425" s="2"/>
      <c r="AL425" s="2"/>
      <c r="AM425" s="2"/>
      <c r="AN425" s="2"/>
      <c r="AO425" s="2"/>
      <c r="AP425" s="100"/>
      <c r="AQ425" s="2"/>
      <c r="AR425" s="2"/>
      <c r="AS425" s="3"/>
    </row>
    <row r="426">
      <c r="A426" s="7" t="s">
        <v>48</v>
      </c>
      <c r="B426" s="46">
        <v>450000.0</v>
      </c>
      <c r="C426" s="7"/>
      <c r="D426" s="47">
        <v>1.0</v>
      </c>
      <c r="E426" s="7"/>
      <c r="F426" s="7"/>
      <c r="G426" s="47">
        <v>1.0</v>
      </c>
      <c r="H426" s="7"/>
      <c r="I426" s="7"/>
      <c r="J426" s="7"/>
      <c r="K426" s="47">
        <v>3.0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48">
        <f t="shared" si="154"/>
        <v>1</v>
      </c>
      <c r="W426" s="48">
        <f t="shared" si="155"/>
        <v>4</v>
      </c>
      <c r="X426" s="48">
        <f t="shared" si="156"/>
        <v>5</v>
      </c>
      <c r="Y426" s="49">
        <f t="shared" si="157"/>
        <v>2250000</v>
      </c>
      <c r="Z426" s="4"/>
      <c r="AA426" s="4"/>
      <c r="AB426" s="4"/>
      <c r="AC426" s="3"/>
      <c r="AD426" s="3"/>
      <c r="AE426" s="2"/>
      <c r="AF426" s="3"/>
      <c r="AG426" s="3"/>
      <c r="AH426" s="3"/>
      <c r="AI426" s="2"/>
      <c r="AJ426" s="2"/>
      <c r="AK426" s="2"/>
      <c r="AL426" s="2"/>
      <c r="AM426" s="2"/>
      <c r="AN426" s="2"/>
      <c r="AO426" s="2"/>
      <c r="AP426" s="100"/>
      <c r="AQ426" s="2"/>
      <c r="AR426" s="2"/>
      <c r="AS426" s="3"/>
    </row>
    <row r="427">
      <c r="A427" s="7" t="s">
        <v>50</v>
      </c>
      <c r="B427" s="46">
        <v>575000.0</v>
      </c>
      <c r="C427" s="7"/>
      <c r="D427" s="47">
        <v>1.0</v>
      </c>
      <c r="E427" s="7"/>
      <c r="F427" s="7"/>
      <c r="G427" s="47">
        <v>5.0</v>
      </c>
      <c r="H427" s="7"/>
      <c r="I427" s="7"/>
      <c r="J427" s="7"/>
      <c r="K427" s="7"/>
      <c r="L427" s="7"/>
      <c r="M427" s="47">
        <v>1.0</v>
      </c>
      <c r="N427" s="7"/>
      <c r="O427" s="7"/>
      <c r="P427" s="7"/>
      <c r="Q427" s="7"/>
      <c r="R427" s="7"/>
      <c r="S427" s="7"/>
      <c r="T427" s="7"/>
      <c r="U427" s="7"/>
      <c r="V427" s="48">
        <f t="shared" si="154"/>
        <v>1</v>
      </c>
      <c r="W427" s="48">
        <f t="shared" si="155"/>
        <v>6</v>
      </c>
      <c r="X427" s="48">
        <f t="shared" si="156"/>
        <v>7</v>
      </c>
      <c r="Y427" s="49">
        <f t="shared" si="157"/>
        <v>4025000</v>
      </c>
      <c r="Z427" s="4"/>
      <c r="AA427" s="4"/>
      <c r="AB427" s="4"/>
      <c r="AC427" s="3"/>
      <c r="AD427" s="3"/>
      <c r="AE427" s="2"/>
      <c r="AF427" s="3"/>
      <c r="AG427" s="3"/>
      <c r="AH427" s="3"/>
      <c r="AI427" s="2"/>
      <c r="AJ427" s="2"/>
      <c r="AK427" s="2"/>
      <c r="AL427" s="2"/>
      <c r="AM427" s="2"/>
      <c r="AN427" s="2"/>
      <c r="AO427" s="2"/>
      <c r="AP427" s="100"/>
      <c r="AQ427" s="2"/>
      <c r="AR427" s="2"/>
      <c r="AS427" s="3"/>
    </row>
    <row r="428">
      <c r="A428" s="7" t="s">
        <v>53</v>
      </c>
      <c r="B428" s="53">
        <v>262000.0</v>
      </c>
      <c r="C428" s="7"/>
      <c r="D428" s="47">
        <v>1.0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47">
        <v>1.0</v>
      </c>
      <c r="R428" s="7"/>
      <c r="S428" s="47">
        <v>1.0</v>
      </c>
      <c r="T428" s="7"/>
      <c r="U428" s="7"/>
      <c r="V428" s="48">
        <f t="shared" si="154"/>
        <v>1</v>
      </c>
      <c r="W428" s="48">
        <f t="shared" si="155"/>
        <v>2</v>
      </c>
      <c r="X428" s="48">
        <f t="shared" si="156"/>
        <v>3</v>
      </c>
      <c r="Y428" s="49">
        <f t="shared" si="157"/>
        <v>786000</v>
      </c>
      <c r="Z428" s="4"/>
      <c r="AA428" s="4"/>
      <c r="AB428" s="4"/>
      <c r="AC428" s="3"/>
      <c r="AD428" s="3"/>
      <c r="AE428" s="2"/>
      <c r="AF428" s="3"/>
      <c r="AG428" s="3"/>
      <c r="AH428" s="3"/>
      <c r="AI428" s="2"/>
      <c r="AJ428" s="2"/>
      <c r="AK428" s="2"/>
      <c r="AL428" s="2"/>
      <c r="AM428" s="2"/>
      <c r="AN428" s="2"/>
      <c r="AO428" s="2"/>
      <c r="AP428" s="100"/>
      <c r="AQ428" s="2"/>
      <c r="AR428" s="2"/>
      <c r="AS428" s="3"/>
    </row>
    <row r="429">
      <c r="A429" s="7" t="s">
        <v>55</v>
      </c>
      <c r="B429" s="53">
        <v>185000.0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47">
        <v>1.0</v>
      </c>
      <c r="T429" s="7"/>
      <c r="U429" s="7"/>
      <c r="V429" s="54" t="str">
        <f t="shared" si="154"/>
        <v/>
      </c>
      <c r="W429" s="48">
        <f t="shared" si="155"/>
        <v>1</v>
      </c>
      <c r="X429" s="48">
        <f t="shared" si="156"/>
        <v>1</v>
      </c>
      <c r="Y429" s="49">
        <f t="shared" si="157"/>
        <v>185000</v>
      </c>
      <c r="Z429" s="4"/>
      <c r="AA429" s="4"/>
      <c r="AB429" s="4"/>
      <c r="AC429" s="3"/>
      <c r="AD429" s="3"/>
      <c r="AE429" s="2"/>
      <c r="AF429" s="3"/>
      <c r="AG429" s="3"/>
      <c r="AH429" s="3"/>
      <c r="AI429" s="2"/>
      <c r="AJ429" s="2"/>
      <c r="AK429" s="2"/>
      <c r="AL429" s="2"/>
      <c r="AM429" s="2"/>
      <c r="AN429" s="2"/>
      <c r="AO429" s="2"/>
      <c r="AP429" s="100"/>
      <c r="AQ429" s="2"/>
      <c r="AR429" s="2"/>
      <c r="AS429" s="3"/>
    </row>
    <row r="430">
      <c r="A430" s="7" t="s">
        <v>57</v>
      </c>
      <c r="B430" s="53">
        <v>242000.0</v>
      </c>
      <c r="C430" s="7"/>
      <c r="D430" s="47">
        <v>1.0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47">
        <v>1.0</v>
      </c>
      <c r="R430" s="7"/>
      <c r="S430" s="47">
        <v>1.0</v>
      </c>
      <c r="T430" s="7"/>
      <c r="U430" s="7"/>
      <c r="V430" s="48">
        <f t="shared" si="154"/>
        <v>1</v>
      </c>
      <c r="W430" s="48">
        <f t="shared" si="155"/>
        <v>2</v>
      </c>
      <c r="X430" s="48">
        <f t="shared" si="156"/>
        <v>3</v>
      </c>
      <c r="Y430" s="49">
        <f t="shared" si="157"/>
        <v>726000</v>
      </c>
      <c r="Z430" s="4"/>
      <c r="AA430" s="4"/>
      <c r="AB430" s="4"/>
      <c r="AC430" s="3"/>
      <c r="AD430" s="3"/>
      <c r="AE430" s="2"/>
      <c r="AF430" s="3"/>
      <c r="AG430" s="3"/>
      <c r="AH430" s="3"/>
      <c r="AI430" s="2"/>
      <c r="AJ430" s="2"/>
      <c r="AK430" s="2"/>
      <c r="AL430" s="2"/>
      <c r="AM430" s="2"/>
      <c r="AN430" s="2"/>
      <c r="AO430" s="2"/>
      <c r="AP430" s="100"/>
      <c r="AQ430" s="2"/>
      <c r="AR430" s="2"/>
      <c r="AS430" s="3"/>
    </row>
    <row r="431">
      <c r="A431" s="7" t="s">
        <v>60</v>
      </c>
      <c r="B431" s="53">
        <v>202000.0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47">
        <v>1.0</v>
      </c>
      <c r="R431" s="7"/>
      <c r="S431" s="47">
        <v>1.0</v>
      </c>
      <c r="T431" s="7"/>
      <c r="U431" s="7"/>
      <c r="V431" s="54" t="str">
        <f t="shared" si="154"/>
        <v/>
      </c>
      <c r="W431" s="48">
        <f t="shared" si="155"/>
        <v>2</v>
      </c>
      <c r="X431" s="48">
        <f t="shared" si="156"/>
        <v>2</v>
      </c>
      <c r="Y431" s="49">
        <f t="shared" si="157"/>
        <v>404000</v>
      </c>
      <c r="Z431" s="4"/>
      <c r="AA431" s="4"/>
      <c r="AB431" s="4"/>
      <c r="AC431" s="3"/>
      <c r="AD431" s="3"/>
      <c r="AE431" s="2"/>
      <c r="AF431" s="3"/>
      <c r="AG431" s="3"/>
      <c r="AH431" s="3"/>
      <c r="AI431" s="2"/>
      <c r="AJ431" s="2"/>
      <c r="AK431" s="2"/>
      <c r="AL431" s="2"/>
      <c r="AM431" s="2"/>
      <c r="AN431" s="2"/>
      <c r="AO431" s="2"/>
      <c r="AP431" s="100"/>
      <c r="AQ431" s="2"/>
      <c r="AR431" s="2"/>
      <c r="AS431" s="3"/>
    </row>
    <row r="432">
      <c r="A432" s="7" t="s">
        <v>61</v>
      </c>
      <c r="B432" s="53">
        <v>175000.0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47">
        <v>1.0</v>
      </c>
      <c r="R432" s="7"/>
      <c r="S432" s="47">
        <v>1.0</v>
      </c>
      <c r="T432" s="7"/>
      <c r="U432" s="7"/>
      <c r="V432" s="54" t="str">
        <f t="shared" si="154"/>
        <v/>
      </c>
      <c r="W432" s="48">
        <f t="shared" si="155"/>
        <v>2</v>
      </c>
      <c r="X432" s="48">
        <f t="shared" si="156"/>
        <v>2</v>
      </c>
      <c r="Y432" s="49">
        <f t="shared" si="157"/>
        <v>350000</v>
      </c>
      <c r="Z432" s="4"/>
      <c r="AA432" s="4"/>
      <c r="AB432" s="4"/>
      <c r="AC432" s="3"/>
      <c r="AD432" s="3"/>
      <c r="AE432" s="2"/>
      <c r="AF432" s="3"/>
      <c r="AG432" s="3"/>
      <c r="AH432" s="3"/>
      <c r="AI432" s="2"/>
      <c r="AJ432" s="2"/>
      <c r="AK432" s="2"/>
      <c r="AL432" s="2"/>
      <c r="AM432" s="2"/>
      <c r="AN432" s="2"/>
      <c r="AO432" s="2"/>
      <c r="AP432" s="100"/>
      <c r="AQ432" s="2"/>
      <c r="AR432" s="2"/>
      <c r="AS432" s="3"/>
    </row>
    <row r="433">
      <c r="A433" s="7" t="s">
        <v>62</v>
      </c>
      <c r="B433" s="53">
        <v>233000.0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54" t="str">
        <f t="shared" si="154"/>
        <v/>
      </c>
      <c r="W433" s="48">
        <f t="shared" si="155"/>
        <v>0</v>
      </c>
      <c r="X433" s="48">
        <f t="shared" si="156"/>
        <v>0</v>
      </c>
      <c r="Y433" s="49">
        <f t="shared" si="157"/>
        <v>0</v>
      </c>
      <c r="Z433" s="4"/>
      <c r="AA433" s="4"/>
      <c r="AB433" s="4"/>
      <c r="AC433" s="3"/>
      <c r="AD433" s="3"/>
      <c r="AE433" s="2"/>
      <c r="AF433" s="3"/>
      <c r="AG433" s="3"/>
      <c r="AH433" s="3"/>
      <c r="AI433" s="2"/>
      <c r="AJ433" s="2"/>
      <c r="AK433" s="2"/>
      <c r="AL433" s="2"/>
      <c r="AM433" s="2"/>
      <c r="AN433" s="2"/>
      <c r="AO433" s="2"/>
      <c r="AP433" s="100"/>
      <c r="AQ433" s="2"/>
      <c r="AR433" s="2"/>
      <c r="AS433" s="3"/>
    </row>
    <row r="434">
      <c r="A434" s="7" t="s">
        <v>63</v>
      </c>
      <c r="B434" s="8"/>
      <c r="C434" s="7"/>
      <c r="D434" s="47">
        <f t="shared" ref="D434:W434" si="158">SUM(D424:D433)</f>
        <v>5</v>
      </c>
      <c r="E434" s="47">
        <f t="shared" si="158"/>
        <v>0</v>
      </c>
      <c r="F434" s="47">
        <f t="shared" si="158"/>
        <v>0</v>
      </c>
      <c r="G434" s="47">
        <f t="shared" si="158"/>
        <v>36</v>
      </c>
      <c r="H434" s="47">
        <f t="shared" si="158"/>
        <v>0</v>
      </c>
      <c r="I434" s="47">
        <f t="shared" si="158"/>
        <v>11</v>
      </c>
      <c r="J434" s="47">
        <f t="shared" si="158"/>
        <v>0</v>
      </c>
      <c r="K434" s="47">
        <f t="shared" si="158"/>
        <v>25</v>
      </c>
      <c r="L434" s="47">
        <f t="shared" si="158"/>
        <v>0</v>
      </c>
      <c r="M434" s="47">
        <f t="shared" si="158"/>
        <v>10</v>
      </c>
      <c r="N434" s="47">
        <f t="shared" si="158"/>
        <v>0</v>
      </c>
      <c r="O434" s="47">
        <f t="shared" si="158"/>
        <v>2</v>
      </c>
      <c r="P434" s="47">
        <f t="shared" si="158"/>
        <v>0</v>
      </c>
      <c r="Q434" s="47">
        <f t="shared" si="158"/>
        <v>8</v>
      </c>
      <c r="R434" s="47">
        <f t="shared" si="158"/>
        <v>0</v>
      </c>
      <c r="S434" s="47">
        <f t="shared" si="158"/>
        <v>5</v>
      </c>
      <c r="T434" s="47">
        <f t="shared" si="158"/>
        <v>0</v>
      </c>
      <c r="U434" s="47">
        <f t="shared" si="158"/>
        <v>0</v>
      </c>
      <c r="V434" s="101">
        <f t="shared" si="158"/>
        <v>5</v>
      </c>
      <c r="W434" s="101">
        <f t="shared" si="158"/>
        <v>97</v>
      </c>
      <c r="X434" s="48">
        <f t="shared" si="156"/>
        <v>102</v>
      </c>
      <c r="Y434" s="102">
        <f>SUM(Y424:Y433)</f>
        <v>36751000</v>
      </c>
      <c r="Z434" s="4"/>
      <c r="AA434" s="4"/>
      <c r="AB434" s="4"/>
      <c r="AC434" s="3"/>
      <c r="AD434" s="3"/>
      <c r="AE434" s="2"/>
      <c r="AF434" s="3"/>
      <c r="AG434" s="3"/>
      <c r="AH434" s="3"/>
      <c r="AI434" s="2"/>
      <c r="AJ434" s="2"/>
      <c r="AK434" s="2"/>
      <c r="AL434" s="2"/>
      <c r="AM434" s="2"/>
      <c r="AN434" s="2"/>
      <c r="AO434" s="2"/>
      <c r="AP434" s="100"/>
      <c r="AQ434" s="2"/>
      <c r="AR434" s="2"/>
      <c r="AS434" s="3"/>
    </row>
    <row r="435">
      <c r="A435" s="7" t="s">
        <v>64</v>
      </c>
      <c r="B435" s="8"/>
      <c r="C435" s="7"/>
      <c r="D435" s="7"/>
      <c r="E435" s="7"/>
      <c r="F435" s="7"/>
      <c r="G435" s="47">
        <f>G434-H434</f>
        <v>36</v>
      </c>
      <c r="H435" s="7"/>
      <c r="I435" s="47">
        <f>I434-J434</f>
        <v>11</v>
      </c>
      <c r="J435" s="7"/>
      <c r="K435" s="47">
        <f>K434-L434</f>
        <v>25</v>
      </c>
      <c r="L435" s="7"/>
      <c r="M435" s="47">
        <f>M434-N434</f>
        <v>10</v>
      </c>
      <c r="N435" s="7"/>
      <c r="O435" s="47">
        <f>O434-P434</f>
        <v>2</v>
      </c>
      <c r="P435" s="7"/>
      <c r="Q435" s="47">
        <f>Q434-R434</f>
        <v>8</v>
      </c>
      <c r="R435" s="7"/>
      <c r="S435" s="47">
        <f>S434-T434</f>
        <v>5</v>
      </c>
      <c r="T435" s="7"/>
      <c r="U435" s="7"/>
      <c r="V435" s="54"/>
      <c r="W435" s="54"/>
      <c r="X435" s="48">
        <f>sum(X424:X434)</f>
        <v>204</v>
      </c>
      <c r="Y435" s="55"/>
      <c r="Z435" s="4"/>
      <c r="AA435" s="4"/>
      <c r="AB435" s="4"/>
      <c r="AC435" s="3"/>
      <c r="AD435" s="3"/>
      <c r="AE435" s="2"/>
      <c r="AF435" s="3"/>
      <c r="AG435" s="3"/>
      <c r="AH435" s="3"/>
      <c r="AI435" s="2"/>
      <c r="AJ435" s="2"/>
      <c r="AK435" s="2"/>
      <c r="AL435" s="2"/>
      <c r="AM435" s="2"/>
      <c r="AN435" s="2"/>
      <c r="AO435" s="2"/>
      <c r="AP435" s="100"/>
      <c r="AQ435" s="2"/>
      <c r="AR435" s="2"/>
      <c r="AS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/>
      <c r="AA436" s="4"/>
      <c r="AB436" s="4"/>
      <c r="AC436" s="3"/>
      <c r="AD436" s="3"/>
      <c r="AE436" s="2"/>
      <c r="AF436" s="3"/>
      <c r="AG436" s="3"/>
      <c r="AH436" s="3"/>
      <c r="AI436" s="2"/>
      <c r="AJ436" s="2"/>
      <c r="AK436" s="2"/>
      <c r="AL436" s="2"/>
      <c r="AM436" s="2"/>
      <c r="AN436" s="2"/>
      <c r="AO436" s="2"/>
      <c r="AP436" s="100"/>
      <c r="AQ436" s="2"/>
      <c r="AR436" s="2"/>
      <c r="AS436" s="3"/>
    </row>
    <row r="437">
      <c r="A437" s="7"/>
      <c r="B437" s="8"/>
      <c r="C437" s="7"/>
      <c r="D437" s="9">
        <v>46020.0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  <c r="X437" s="6"/>
      <c r="Y437" s="6"/>
      <c r="Z437" s="4"/>
      <c r="AA437" s="4"/>
      <c r="AB437" s="4"/>
      <c r="AC437" s="3"/>
      <c r="AD437" s="3"/>
      <c r="AE437" s="2"/>
      <c r="AF437" s="3"/>
      <c r="AG437" s="3"/>
      <c r="AH437" s="3"/>
      <c r="AI437" s="2"/>
      <c r="AJ437" s="2"/>
      <c r="AK437" s="2"/>
      <c r="AL437" s="2"/>
      <c r="AM437" s="2"/>
      <c r="AN437" s="2"/>
      <c r="AO437" s="2"/>
      <c r="AP437" s="100"/>
      <c r="AQ437" s="2"/>
      <c r="AR437" s="2"/>
      <c r="AS437" s="3"/>
    </row>
    <row r="438">
      <c r="A438" s="70" t="s">
        <v>6</v>
      </c>
      <c r="B438" s="34" t="b">
        <v>0</v>
      </c>
      <c r="C438" s="7"/>
      <c r="D438" s="71" t="s">
        <v>7</v>
      </c>
      <c r="E438" s="11"/>
      <c r="F438" s="7"/>
      <c r="G438" s="71" t="s">
        <v>8</v>
      </c>
      <c r="H438" s="11"/>
      <c r="I438" s="71" t="s">
        <v>9</v>
      </c>
      <c r="J438" s="11"/>
      <c r="K438" s="71" t="s">
        <v>10</v>
      </c>
      <c r="L438" s="11"/>
      <c r="M438" s="71" t="s">
        <v>11</v>
      </c>
      <c r="N438" s="11"/>
      <c r="O438" s="71" t="s">
        <v>12</v>
      </c>
      <c r="P438" s="11"/>
      <c r="Q438" s="71" t="s">
        <v>13</v>
      </c>
      <c r="R438" s="11"/>
      <c r="S438" s="71" t="s">
        <v>14</v>
      </c>
      <c r="T438" s="11"/>
      <c r="U438" s="35" t="s">
        <v>15</v>
      </c>
      <c r="V438" s="73" t="s">
        <v>16</v>
      </c>
      <c r="W438" s="10"/>
      <c r="X438" s="10"/>
      <c r="Y438" s="11"/>
      <c r="Z438" s="4"/>
      <c r="AA438" s="4"/>
      <c r="AB438" s="4"/>
      <c r="AC438" s="3"/>
      <c r="AD438" s="3"/>
      <c r="AE438" s="2"/>
      <c r="AF438" s="3"/>
      <c r="AG438" s="3"/>
      <c r="AH438" s="3"/>
      <c r="AI438" s="2"/>
      <c r="AJ438" s="2"/>
      <c r="AK438" s="2"/>
      <c r="AL438" s="2"/>
      <c r="AM438" s="2"/>
      <c r="AN438" s="2"/>
      <c r="AO438" s="2"/>
      <c r="AP438" s="100"/>
      <c r="AQ438" s="2"/>
      <c r="AR438" s="2"/>
      <c r="AS438" s="3"/>
    </row>
    <row r="439">
      <c r="A439" s="7"/>
      <c r="B439" s="34" t="s">
        <v>28</v>
      </c>
      <c r="C439" s="35" t="s">
        <v>29</v>
      </c>
      <c r="D439" s="35" t="s">
        <v>30</v>
      </c>
      <c r="E439" s="35" t="s">
        <v>31</v>
      </c>
      <c r="F439" s="35" t="s">
        <v>32</v>
      </c>
      <c r="G439" s="35" t="s">
        <v>33</v>
      </c>
      <c r="H439" s="35" t="s">
        <v>31</v>
      </c>
      <c r="I439" s="35" t="s">
        <v>33</v>
      </c>
      <c r="J439" s="35" t="s">
        <v>31</v>
      </c>
      <c r="K439" s="35" t="s">
        <v>33</v>
      </c>
      <c r="L439" s="35" t="s">
        <v>31</v>
      </c>
      <c r="M439" s="35" t="s">
        <v>33</v>
      </c>
      <c r="N439" s="35" t="s">
        <v>31</v>
      </c>
      <c r="O439" s="35" t="s">
        <v>33</v>
      </c>
      <c r="P439" s="35" t="s">
        <v>31</v>
      </c>
      <c r="Q439" s="35" t="s">
        <v>33</v>
      </c>
      <c r="R439" s="35" t="s">
        <v>31</v>
      </c>
      <c r="S439" s="35" t="s">
        <v>33</v>
      </c>
      <c r="T439" s="35" t="s">
        <v>31</v>
      </c>
      <c r="U439" s="35" t="s">
        <v>34</v>
      </c>
      <c r="V439" s="36" t="s">
        <v>7</v>
      </c>
      <c r="W439" s="36" t="s">
        <v>35</v>
      </c>
      <c r="X439" s="36" t="s">
        <v>36</v>
      </c>
      <c r="Y439" s="36" t="s">
        <v>37</v>
      </c>
      <c r="Z439" s="4"/>
      <c r="AA439" s="4"/>
      <c r="AB439" s="4"/>
      <c r="AC439" s="3"/>
      <c r="AD439" s="3"/>
      <c r="AE439" s="2"/>
      <c r="AF439" s="3"/>
      <c r="AG439" s="3"/>
      <c r="AH439" s="3"/>
      <c r="AI439" s="2"/>
      <c r="AJ439" s="2"/>
      <c r="AK439" s="2"/>
      <c r="AL439" s="2"/>
      <c r="AM439" s="2"/>
      <c r="AN439" s="2"/>
      <c r="AO439" s="2"/>
      <c r="AP439" s="100"/>
      <c r="AQ439" s="2"/>
      <c r="AR439" s="2"/>
      <c r="AS439" s="3"/>
    </row>
    <row r="440">
      <c r="A440" s="7" t="s">
        <v>42</v>
      </c>
      <c r="B440" s="46">
        <v>335000.0</v>
      </c>
      <c r="C440" s="7"/>
      <c r="D440" s="47">
        <v>1.0</v>
      </c>
      <c r="E440" s="7"/>
      <c r="F440" s="7"/>
      <c r="G440" s="47">
        <v>13.0</v>
      </c>
      <c r="H440" s="7"/>
      <c r="I440" s="47">
        <v>8.0</v>
      </c>
      <c r="J440" s="7"/>
      <c r="K440" s="47">
        <v>22.0</v>
      </c>
      <c r="L440" s="7"/>
      <c r="M440" s="47">
        <v>6.0</v>
      </c>
      <c r="N440" s="7"/>
      <c r="O440" s="47">
        <v>2.0</v>
      </c>
      <c r="P440" s="47">
        <v>2.0</v>
      </c>
      <c r="Q440" s="47">
        <v>1.0</v>
      </c>
      <c r="R440" s="7"/>
      <c r="S440" s="7"/>
      <c r="T440" s="7"/>
      <c r="U440" s="7"/>
      <c r="V440" s="48">
        <f t="shared" ref="V440:V449" si="159">D440</f>
        <v>1</v>
      </c>
      <c r="W440" s="48">
        <f t="shared" ref="W440:W449" si="160">G440+I440+K440+M440+O440+Q440+S440</f>
        <v>52</v>
      </c>
      <c r="X440" s="48">
        <f t="shared" ref="X440:X450" si="161">V440+W440</f>
        <v>53</v>
      </c>
      <c r="Y440" s="49">
        <f t="shared" ref="Y440:Y449" si="162">B440*X440</f>
        <v>17755000</v>
      </c>
      <c r="Z440" s="4"/>
      <c r="AA440" s="4"/>
      <c r="AB440" s="4"/>
      <c r="AC440" s="3"/>
      <c r="AD440" s="3"/>
      <c r="AE440" s="2"/>
      <c r="AF440" s="3"/>
      <c r="AG440" s="3"/>
      <c r="AH440" s="3"/>
      <c r="AI440" s="2"/>
      <c r="AJ440" s="2"/>
      <c r="AK440" s="2"/>
      <c r="AL440" s="2"/>
      <c r="AM440" s="2"/>
      <c r="AN440" s="2"/>
      <c r="AO440" s="2"/>
      <c r="AP440" s="100"/>
      <c r="AQ440" s="2"/>
      <c r="AR440" s="2"/>
      <c r="AS440" s="3"/>
    </row>
    <row r="441">
      <c r="A441" s="7" t="s">
        <v>45</v>
      </c>
      <c r="B441" s="13">
        <v>395000.0</v>
      </c>
      <c r="C441" s="6"/>
      <c r="D441" s="7"/>
      <c r="E441" s="7"/>
      <c r="F441" s="7"/>
      <c r="G441" s="47">
        <v>17.0</v>
      </c>
      <c r="H441" s="7"/>
      <c r="I441" s="47">
        <v>3.0</v>
      </c>
      <c r="J441" s="7"/>
      <c r="K441" s="7"/>
      <c r="L441" s="7"/>
      <c r="M441" s="47">
        <v>3.0</v>
      </c>
      <c r="N441" s="7"/>
      <c r="O441" s="7"/>
      <c r="P441" s="7"/>
      <c r="Q441" s="47">
        <v>3.0</v>
      </c>
      <c r="R441" s="7"/>
      <c r="S441" s="7"/>
      <c r="T441" s="7"/>
      <c r="U441" s="7"/>
      <c r="V441" s="54" t="str">
        <f t="shared" si="159"/>
        <v/>
      </c>
      <c r="W441" s="48">
        <f t="shared" si="160"/>
        <v>26</v>
      </c>
      <c r="X441" s="48">
        <f t="shared" si="161"/>
        <v>26</v>
      </c>
      <c r="Y441" s="49">
        <f t="shared" si="162"/>
        <v>10270000</v>
      </c>
      <c r="Z441" s="4"/>
      <c r="AA441" s="4"/>
      <c r="AB441" s="4"/>
      <c r="AC441" s="3"/>
      <c r="AD441" s="3"/>
      <c r="AE441" s="2"/>
      <c r="AF441" s="3"/>
      <c r="AG441" s="3"/>
      <c r="AH441" s="3"/>
      <c r="AI441" s="2"/>
      <c r="AJ441" s="2"/>
      <c r="AK441" s="2"/>
      <c r="AL441" s="2"/>
      <c r="AM441" s="2"/>
      <c r="AN441" s="2"/>
      <c r="AO441" s="2"/>
      <c r="AP441" s="100"/>
      <c r="AQ441" s="2"/>
      <c r="AR441" s="2"/>
      <c r="AS441" s="3"/>
    </row>
    <row r="442">
      <c r="A442" s="7" t="s">
        <v>48</v>
      </c>
      <c r="B442" s="46">
        <v>450000.0</v>
      </c>
      <c r="C442" s="7"/>
      <c r="D442" s="47">
        <v>1.0</v>
      </c>
      <c r="E442" s="7"/>
      <c r="F442" s="7"/>
      <c r="G442" s="47">
        <v>1.0</v>
      </c>
      <c r="H442" s="7"/>
      <c r="I442" s="7"/>
      <c r="J442" s="7"/>
      <c r="K442" s="47">
        <v>3.0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48">
        <f t="shared" si="159"/>
        <v>1</v>
      </c>
      <c r="W442" s="48">
        <f t="shared" si="160"/>
        <v>4</v>
      </c>
      <c r="X442" s="48">
        <f t="shared" si="161"/>
        <v>5</v>
      </c>
      <c r="Y442" s="49">
        <f t="shared" si="162"/>
        <v>2250000</v>
      </c>
      <c r="Z442" s="4"/>
      <c r="AA442" s="4"/>
      <c r="AB442" s="4"/>
      <c r="AC442" s="3"/>
      <c r="AD442" s="3"/>
      <c r="AE442" s="2"/>
      <c r="AF442" s="3"/>
      <c r="AG442" s="3"/>
      <c r="AH442" s="3"/>
      <c r="AI442" s="2"/>
      <c r="AJ442" s="2"/>
      <c r="AK442" s="2"/>
      <c r="AL442" s="2"/>
      <c r="AM442" s="2"/>
      <c r="AN442" s="2"/>
      <c r="AO442" s="2"/>
      <c r="AP442" s="100"/>
      <c r="AQ442" s="2"/>
      <c r="AR442" s="2"/>
      <c r="AS442" s="3"/>
    </row>
    <row r="443">
      <c r="A443" s="7" t="s">
        <v>50</v>
      </c>
      <c r="B443" s="46">
        <v>575000.0</v>
      </c>
      <c r="C443" s="7"/>
      <c r="D443" s="47">
        <v>1.0</v>
      </c>
      <c r="E443" s="7"/>
      <c r="F443" s="7"/>
      <c r="G443" s="47">
        <v>5.0</v>
      </c>
      <c r="H443" s="7"/>
      <c r="I443" s="7"/>
      <c r="J443" s="7"/>
      <c r="K443" s="7"/>
      <c r="L443" s="7"/>
      <c r="M443" s="47">
        <v>1.0</v>
      </c>
      <c r="N443" s="7"/>
      <c r="O443" s="7"/>
      <c r="P443" s="7"/>
      <c r="Q443" s="7"/>
      <c r="R443" s="7"/>
      <c r="S443" s="7"/>
      <c r="T443" s="7"/>
      <c r="U443" s="7"/>
      <c r="V443" s="48">
        <f t="shared" si="159"/>
        <v>1</v>
      </c>
      <c r="W443" s="48">
        <f t="shared" si="160"/>
        <v>6</v>
      </c>
      <c r="X443" s="48">
        <f t="shared" si="161"/>
        <v>7</v>
      </c>
      <c r="Y443" s="49">
        <f t="shared" si="162"/>
        <v>4025000</v>
      </c>
      <c r="Z443" s="4"/>
      <c r="AA443" s="4"/>
      <c r="AB443" s="4"/>
      <c r="AC443" s="3"/>
      <c r="AD443" s="3"/>
      <c r="AE443" s="2"/>
      <c r="AF443" s="3"/>
      <c r="AG443" s="3"/>
      <c r="AH443" s="3"/>
      <c r="AI443" s="2"/>
      <c r="AJ443" s="2"/>
      <c r="AK443" s="2"/>
      <c r="AL443" s="2"/>
      <c r="AM443" s="2"/>
      <c r="AN443" s="2"/>
      <c r="AO443" s="2"/>
      <c r="AP443" s="100"/>
      <c r="AQ443" s="2"/>
      <c r="AR443" s="2"/>
      <c r="AS443" s="3"/>
    </row>
    <row r="444">
      <c r="A444" s="7" t="s">
        <v>53</v>
      </c>
      <c r="B444" s="53">
        <v>262000.0</v>
      </c>
      <c r="C444" s="7"/>
      <c r="D444" s="47">
        <v>1.0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47">
        <v>1.0</v>
      </c>
      <c r="R444" s="7"/>
      <c r="S444" s="47">
        <v>1.0</v>
      </c>
      <c r="T444" s="7"/>
      <c r="U444" s="7"/>
      <c r="V444" s="48">
        <f t="shared" si="159"/>
        <v>1</v>
      </c>
      <c r="W444" s="48">
        <f t="shared" si="160"/>
        <v>2</v>
      </c>
      <c r="X444" s="48">
        <f t="shared" si="161"/>
        <v>3</v>
      </c>
      <c r="Y444" s="49">
        <f t="shared" si="162"/>
        <v>786000</v>
      </c>
      <c r="Z444" s="4"/>
      <c r="AA444" s="4"/>
      <c r="AB444" s="4"/>
      <c r="AC444" s="3"/>
      <c r="AD444" s="3"/>
      <c r="AE444" s="2"/>
      <c r="AF444" s="3"/>
      <c r="AG444" s="3"/>
      <c r="AH444" s="3"/>
      <c r="AI444" s="2"/>
      <c r="AJ444" s="2"/>
      <c r="AK444" s="2"/>
      <c r="AL444" s="2"/>
      <c r="AM444" s="2"/>
      <c r="AN444" s="2"/>
      <c r="AO444" s="2"/>
      <c r="AP444" s="100"/>
      <c r="AQ444" s="2"/>
      <c r="AR444" s="2"/>
      <c r="AS444" s="3"/>
    </row>
    <row r="445">
      <c r="A445" s="7" t="s">
        <v>55</v>
      </c>
      <c r="B445" s="53">
        <v>185000.0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47">
        <v>1.0</v>
      </c>
      <c r="T445" s="7"/>
      <c r="U445" s="7"/>
      <c r="V445" s="54" t="str">
        <f t="shared" si="159"/>
        <v/>
      </c>
      <c r="W445" s="48">
        <f t="shared" si="160"/>
        <v>1</v>
      </c>
      <c r="X445" s="48">
        <f t="shared" si="161"/>
        <v>1</v>
      </c>
      <c r="Y445" s="49">
        <f t="shared" si="162"/>
        <v>185000</v>
      </c>
      <c r="Z445" s="4"/>
      <c r="AA445" s="4"/>
      <c r="AB445" s="4"/>
      <c r="AC445" s="3"/>
      <c r="AD445" s="3"/>
      <c r="AE445" s="2"/>
      <c r="AF445" s="3"/>
      <c r="AG445" s="3"/>
      <c r="AH445" s="3"/>
      <c r="AI445" s="2"/>
      <c r="AJ445" s="2"/>
      <c r="AK445" s="2"/>
      <c r="AL445" s="2"/>
      <c r="AM445" s="2"/>
      <c r="AN445" s="2"/>
      <c r="AO445" s="2"/>
      <c r="AP445" s="100"/>
      <c r="AQ445" s="2"/>
      <c r="AR445" s="2"/>
      <c r="AS445" s="3"/>
    </row>
    <row r="446">
      <c r="A446" s="7" t="s">
        <v>57</v>
      </c>
      <c r="B446" s="53">
        <v>242000.0</v>
      </c>
      <c r="C446" s="7"/>
      <c r="D446" s="47">
        <v>1.0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47">
        <v>1.0</v>
      </c>
      <c r="R446" s="7"/>
      <c r="S446" s="47">
        <v>1.0</v>
      </c>
      <c r="T446" s="7"/>
      <c r="U446" s="7"/>
      <c r="V446" s="48">
        <f t="shared" si="159"/>
        <v>1</v>
      </c>
      <c r="W446" s="48">
        <f t="shared" si="160"/>
        <v>2</v>
      </c>
      <c r="X446" s="48">
        <f t="shared" si="161"/>
        <v>3</v>
      </c>
      <c r="Y446" s="49">
        <f t="shared" si="162"/>
        <v>726000</v>
      </c>
      <c r="Z446" s="4"/>
      <c r="AA446" s="4"/>
      <c r="AB446" s="4"/>
      <c r="AC446" s="3"/>
      <c r="AD446" s="3"/>
      <c r="AE446" s="2"/>
      <c r="AF446" s="3"/>
      <c r="AG446" s="3"/>
      <c r="AH446" s="3"/>
      <c r="AI446" s="2"/>
      <c r="AJ446" s="2"/>
      <c r="AK446" s="2"/>
      <c r="AL446" s="2"/>
      <c r="AM446" s="2"/>
      <c r="AN446" s="2"/>
      <c r="AO446" s="2"/>
      <c r="AP446" s="100"/>
      <c r="AQ446" s="2"/>
      <c r="AR446" s="2"/>
      <c r="AS446" s="3"/>
    </row>
    <row r="447">
      <c r="A447" s="7" t="s">
        <v>60</v>
      </c>
      <c r="B447" s="53">
        <v>202000.0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47">
        <v>1.0</v>
      </c>
      <c r="R447" s="7"/>
      <c r="S447" s="47">
        <v>1.0</v>
      </c>
      <c r="T447" s="7"/>
      <c r="U447" s="7"/>
      <c r="V447" s="54" t="str">
        <f t="shared" si="159"/>
        <v/>
      </c>
      <c r="W447" s="48">
        <f t="shared" si="160"/>
        <v>2</v>
      </c>
      <c r="X447" s="48">
        <f t="shared" si="161"/>
        <v>2</v>
      </c>
      <c r="Y447" s="49">
        <f t="shared" si="162"/>
        <v>404000</v>
      </c>
      <c r="Z447" s="4"/>
      <c r="AA447" s="4"/>
      <c r="AB447" s="4"/>
      <c r="AC447" s="3"/>
      <c r="AD447" s="3"/>
      <c r="AE447" s="2"/>
      <c r="AF447" s="3"/>
      <c r="AG447" s="3"/>
      <c r="AH447" s="3"/>
      <c r="AI447" s="2"/>
      <c r="AJ447" s="2"/>
      <c r="AK447" s="2"/>
      <c r="AL447" s="2"/>
      <c r="AM447" s="2"/>
      <c r="AN447" s="2"/>
      <c r="AO447" s="2"/>
      <c r="AP447" s="100"/>
      <c r="AQ447" s="2"/>
      <c r="AR447" s="2"/>
      <c r="AS447" s="3"/>
    </row>
    <row r="448">
      <c r="A448" s="7" t="s">
        <v>61</v>
      </c>
      <c r="B448" s="53">
        <v>175000.0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47">
        <v>1.0</v>
      </c>
      <c r="R448" s="7"/>
      <c r="S448" s="47">
        <v>1.0</v>
      </c>
      <c r="T448" s="7"/>
      <c r="U448" s="7"/>
      <c r="V448" s="54" t="str">
        <f t="shared" si="159"/>
        <v/>
      </c>
      <c r="W448" s="48">
        <f t="shared" si="160"/>
        <v>2</v>
      </c>
      <c r="X448" s="48">
        <f t="shared" si="161"/>
        <v>2</v>
      </c>
      <c r="Y448" s="49">
        <f t="shared" si="162"/>
        <v>350000</v>
      </c>
      <c r="Z448" s="4"/>
      <c r="AA448" s="4"/>
      <c r="AB448" s="4"/>
      <c r="AC448" s="3"/>
      <c r="AD448" s="3"/>
      <c r="AE448" s="2"/>
      <c r="AF448" s="3"/>
      <c r="AG448" s="3"/>
      <c r="AH448" s="3"/>
      <c r="AI448" s="2"/>
      <c r="AJ448" s="2"/>
      <c r="AK448" s="2"/>
      <c r="AL448" s="2"/>
      <c r="AM448" s="2"/>
      <c r="AN448" s="2"/>
      <c r="AO448" s="2"/>
      <c r="AP448" s="100"/>
      <c r="AQ448" s="2"/>
      <c r="AR448" s="2"/>
      <c r="AS448" s="3"/>
    </row>
    <row r="449">
      <c r="A449" s="7" t="s">
        <v>62</v>
      </c>
      <c r="B449" s="53">
        <v>233000.0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54" t="str">
        <f t="shared" si="159"/>
        <v/>
      </c>
      <c r="W449" s="48">
        <f t="shared" si="160"/>
        <v>0</v>
      </c>
      <c r="X449" s="48">
        <f t="shared" si="161"/>
        <v>0</v>
      </c>
      <c r="Y449" s="49">
        <f t="shared" si="162"/>
        <v>0</v>
      </c>
      <c r="Z449" s="4"/>
      <c r="AA449" s="4"/>
      <c r="AB449" s="4"/>
      <c r="AC449" s="3"/>
      <c r="AD449" s="3"/>
      <c r="AE449" s="2"/>
      <c r="AF449" s="3"/>
      <c r="AG449" s="3"/>
      <c r="AH449" s="3"/>
      <c r="AI449" s="2"/>
      <c r="AJ449" s="2"/>
      <c r="AK449" s="2"/>
      <c r="AL449" s="2"/>
      <c r="AM449" s="2"/>
      <c r="AN449" s="2"/>
      <c r="AO449" s="2"/>
      <c r="AP449" s="100"/>
      <c r="AQ449" s="2"/>
      <c r="AR449" s="2"/>
      <c r="AS449" s="3"/>
    </row>
    <row r="450">
      <c r="A450" s="7" t="s">
        <v>63</v>
      </c>
      <c r="B450" s="8"/>
      <c r="C450" s="7"/>
      <c r="D450" s="47">
        <f t="shared" ref="D450:W450" si="163">SUM(D440:D449)</f>
        <v>5</v>
      </c>
      <c r="E450" s="47">
        <f t="shared" si="163"/>
        <v>0</v>
      </c>
      <c r="F450" s="47">
        <f t="shared" si="163"/>
        <v>0</v>
      </c>
      <c r="G450" s="47">
        <f t="shared" si="163"/>
        <v>36</v>
      </c>
      <c r="H450" s="47">
        <f t="shared" si="163"/>
        <v>0</v>
      </c>
      <c r="I450" s="47">
        <f t="shared" si="163"/>
        <v>11</v>
      </c>
      <c r="J450" s="47">
        <f t="shared" si="163"/>
        <v>0</v>
      </c>
      <c r="K450" s="47">
        <f t="shared" si="163"/>
        <v>25</v>
      </c>
      <c r="L450" s="47">
        <f t="shared" si="163"/>
        <v>0</v>
      </c>
      <c r="M450" s="47">
        <f t="shared" si="163"/>
        <v>10</v>
      </c>
      <c r="N450" s="47">
        <f t="shared" si="163"/>
        <v>0</v>
      </c>
      <c r="O450" s="47">
        <f t="shared" si="163"/>
        <v>2</v>
      </c>
      <c r="P450" s="47">
        <f t="shared" si="163"/>
        <v>2</v>
      </c>
      <c r="Q450" s="47">
        <f t="shared" si="163"/>
        <v>8</v>
      </c>
      <c r="R450" s="47">
        <f t="shared" si="163"/>
        <v>0</v>
      </c>
      <c r="S450" s="47">
        <f t="shared" si="163"/>
        <v>5</v>
      </c>
      <c r="T450" s="47">
        <f t="shared" si="163"/>
        <v>0</v>
      </c>
      <c r="U450" s="47">
        <f t="shared" si="163"/>
        <v>0</v>
      </c>
      <c r="V450" s="101">
        <f t="shared" si="163"/>
        <v>5</v>
      </c>
      <c r="W450" s="101">
        <f t="shared" si="163"/>
        <v>97</v>
      </c>
      <c r="X450" s="48">
        <f t="shared" si="161"/>
        <v>102</v>
      </c>
      <c r="Y450" s="102">
        <f>SUM(Y440:Y449)</f>
        <v>36751000</v>
      </c>
      <c r="Z450" s="4"/>
      <c r="AA450" s="4"/>
      <c r="AB450" s="4"/>
      <c r="AC450" s="3"/>
      <c r="AD450" s="3"/>
      <c r="AE450" s="2"/>
      <c r="AF450" s="3"/>
      <c r="AG450" s="3"/>
      <c r="AH450" s="3"/>
      <c r="AI450" s="2"/>
      <c r="AJ450" s="2"/>
      <c r="AK450" s="2"/>
      <c r="AL450" s="2"/>
      <c r="AM450" s="2"/>
      <c r="AN450" s="2"/>
      <c r="AO450" s="2"/>
      <c r="AP450" s="100"/>
      <c r="AQ450" s="2"/>
      <c r="AR450" s="2"/>
      <c r="AS450" s="3"/>
    </row>
    <row r="451">
      <c r="A451" s="7" t="s">
        <v>64</v>
      </c>
      <c r="B451" s="8"/>
      <c r="C451" s="7"/>
      <c r="D451" s="7"/>
      <c r="E451" s="7"/>
      <c r="F451" s="7"/>
      <c r="G451" s="47">
        <f>G450-H450</f>
        <v>36</v>
      </c>
      <c r="H451" s="7"/>
      <c r="I451" s="47">
        <f>I450-J450</f>
        <v>11</v>
      </c>
      <c r="J451" s="7"/>
      <c r="K451" s="47">
        <f>K450-L450</f>
        <v>25</v>
      </c>
      <c r="L451" s="7"/>
      <c r="M451" s="47">
        <f>M450-N450</f>
        <v>10</v>
      </c>
      <c r="N451" s="7"/>
      <c r="O451" s="47">
        <f>O450-P450</f>
        <v>0</v>
      </c>
      <c r="P451" s="7"/>
      <c r="Q451" s="47">
        <f>Q450-R450</f>
        <v>8</v>
      </c>
      <c r="R451" s="7"/>
      <c r="S451" s="47">
        <f>S450-T450</f>
        <v>5</v>
      </c>
      <c r="T451" s="7"/>
      <c r="U451" s="7"/>
      <c r="V451" s="54"/>
      <c r="W451" s="54"/>
      <c r="X451" s="48">
        <f>sum(X440:X450)</f>
        <v>204</v>
      </c>
      <c r="Y451" s="55"/>
      <c r="Z451" s="4"/>
      <c r="AA451" s="4"/>
      <c r="AB451" s="4"/>
      <c r="AC451" s="3"/>
      <c r="AD451" s="3"/>
      <c r="AE451" s="2"/>
      <c r="AF451" s="3"/>
      <c r="AG451" s="3"/>
      <c r="AH451" s="3"/>
      <c r="AI451" s="2"/>
      <c r="AJ451" s="2"/>
      <c r="AK451" s="2"/>
      <c r="AL451" s="2"/>
      <c r="AM451" s="2"/>
      <c r="AN451" s="2"/>
      <c r="AO451" s="2"/>
      <c r="AP451" s="100"/>
      <c r="AQ451" s="2"/>
      <c r="AR451" s="2"/>
      <c r="AS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4"/>
      <c r="AA452" s="4"/>
      <c r="AB452" s="4"/>
      <c r="AC452" s="3"/>
      <c r="AD452" s="3"/>
      <c r="AE452" s="2"/>
      <c r="AF452" s="3"/>
      <c r="AG452" s="3"/>
      <c r="AH452" s="3"/>
      <c r="AI452" s="2"/>
      <c r="AJ452" s="2"/>
      <c r="AK452" s="2"/>
      <c r="AL452" s="2"/>
      <c r="AM452" s="2"/>
      <c r="AN452" s="2"/>
      <c r="AO452" s="2"/>
      <c r="AP452" s="100"/>
      <c r="AQ452" s="2"/>
      <c r="AR452" s="2"/>
      <c r="AS452" s="3"/>
    </row>
    <row r="453">
      <c r="A453" s="7"/>
      <c r="B453" s="8"/>
      <c r="C453" s="7"/>
      <c r="D453" s="9">
        <v>46021.0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  <c r="X453" s="6"/>
      <c r="Y453" s="6"/>
      <c r="Z453" s="4"/>
      <c r="AA453" s="4"/>
      <c r="AB453" s="4"/>
      <c r="AC453" s="3"/>
      <c r="AD453" s="3"/>
      <c r="AE453" s="2"/>
      <c r="AF453" s="3"/>
      <c r="AG453" s="3"/>
      <c r="AH453" s="3"/>
      <c r="AI453" s="2"/>
      <c r="AJ453" s="2"/>
      <c r="AK453" s="2"/>
      <c r="AL453" s="2"/>
      <c r="AM453" s="2"/>
      <c r="AN453" s="2"/>
      <c r="AO453" s="2"/>
      <c r="AP453" s="100"/>
      <c r="AQ453" s="2"/>
      <c r="AR453" s="2"/>
      <c r="AS453" s="3"/>
    </row>
    <row r="454">
      <c r="A454" s="70" t="s">
        <v>6</v>
      </c>
      <c r="B454" s="34" t="b">
        <v>0</v>
      </c>
      <c r="C454" s="7"/>
      <c r="D454" s="71" t="s">
        <v>7</v>
      </c>
      <c r="E454" s="11"/>
      <c r="F454" s="7"/>
      <c r="G454" s="71" t="s">
        <v>8</v>
      </c>
      <c r="H454" s="11"/>
      <c r="I454" s="71" t="s">
        <v>9</v>
      </c>
      <c r="J454" s="11"/>
      <c r="K454" s="71" t="s">
        <v>10</v>
      </c>
      <c r="L454" s="11"/>
      <c r="M454" s="71" t="s">
        <v>11</v>
      </c>
      <c r="N454" s="11"/>
      <c r="O454" s="71" t="s">
        <v>12</v>
      </c>
      <c r="P454" s="11"/>
      <c r="Q454" s="71" t="s">
        <v>13</v>
      </c>
      <c r="R454" s="11"/>
      <c r="S454" s="71" t="s">
        <v>14</v>
      </c>
      <c r="T454" s="11"/>
      <c r="U454" s="35" t="s">
        <v>15</v>
      </c>
      <c r="V454" s="73" t="s">
        <v>16</v>
      </c>
      <c r="W454" s="10"/>
      <c r="X454" s="10"/>
      <c r="Y454" s="11"/>
      <c r="Z454" s="4"/>
      <c r="AA454" s="4"/>
      <c r="AB454" s="4"/>
      <c r="AC454" s="3"/>
      <c r="AD454" s="3"/>
      <c r="AE454" s="2"/>
      <c r="AF454" s="3"/>
      <c r="AG454" s="3"/>
      <c r="AH454" s="3"/>
      <c r="AI454" s="2"/>
      <c r="AJ454" s="2"/>
      <c r="AK454" s="2"/>
      <c r="AL454" s="2"/>
      <c r="AM454" s="2"/>
      <c r="AN454" s="2"/>
      <c r="AO454" s="2"/>
      <c r="AP454" s="100"/>
      <c r="AQ454" s="2"/>
      <c r="AR454" s="2"/>
      <c r="AS454" s="3"/>
    </row>
    <row r="455">
      <c r="A455" s="7"/>
      <c r="B455" s="34" t="s">
        <v>28</v>
      </c>
      <c r="C455" s="35" t="s">
        <v>29</v>
      </c>
      <c r="D455" s="35" t="s">
        <v>30</v>
      </c>
      <c r="E455" s="35" t="s">
        <v>31</v>
      </c>
      <c r="F455" s="35" t="s">
        <v>32</v>
      </c>
      <c r="G455" s="35" t="s">
        <v>33</v>
      </c>
      <c r="H455" s="35" t="s">
        <v>31</v>
      </c>
      <c r="I455" s="35" t="s">
        <v>33</v>
      </c>
      <c r="J455" s="35" t="s">
        <v>31</v>
      </c>
      <c r="K455" s="35" t="s">
        <v>33</v>
      </c>
      <c r="L455" s="35" t="s">
        <v>31</v>
      </c>
      <c r="M455" s="35" t="s">
        <v>33</v>
      </c>
      <c r="N455" s="35" t="s">
        <v>31</v>
      </c>
      <c r="O455" s="35" t="s">
        <v>33</v>
      </c>
      <c r="P455" s="35" t="s">
        <v>31</v>
      </c>
      <c r="Q455" s="35" t="s">
        <v>33</v>
      </c>
      <c r="R455" s="35" t="s">
        <v>31</v>
      </c>
      <c r="S455" s="35" t="s">
        <v>33</v>
      </c>
      <c r="T455" s="35" t="s">
        <v>31</v>
      </c>
      <c r="U455" s="35" t="s">
        <v>34</v>
      </c>
      <c r="V455" s="36" t="s">
        <v>7</v>
      </c>
      <c r="W455" s="36" t="s">
        <v>35</v>
      </c>
      <c r="X455" s="36" t="s">
        <v>36</v>
      </c>
      <c r="Y455" s="36" t="s">
        <v>37</v>
      </c>
      <c r="Z455" s="4"/>
      <c r="AA455" s="4"/>
      <c r="AB455" s="4"/>
      <c r="AC455" s="3"/>
      <c r="AD455" s="3"/>
      <c r="AE455" s="2"/>
      <c r="AF455" s="3"/>
      <c r="AG455" s="3"/>
      <c r="AH455" s="3"/>
      <c r="AI455" s="2"/>
      <c r="AJ455" s="2"/>
      <c r="AK455" s="2"/>
      <c r="AL455" s="2"/>
      <c r="AM455" s="2"/>
      <c r="AN455" s="2"/>
      <c r="AO455" s="2"/>
      <c r="AP455" s="100"/>
      <c r="AQ455" s="2"/>
      <c r="AR455" s="2"/>
      <c r="AS455" s="3"/>
    </row>
    <row r="456">
      <c r="A456" s="7" t="s">
        <v>42</v>
      </c>
      <c r="B456" s="46">
        <v>335000.0</v>
      </c>
      <c r="C456" s="7"/>
      <c r="D456" s="47">
        <v>1.0</v>
      </c>
      <c r="E456" s="7"/>
      <c r="F456" s="7"/>
      <c r="G456" s="47">
        <v>13.0</v>
      </c>
      <c r="H456" s="7"/>
      <c r="I456" s="47">
        <v>8.0</v>
      </c>
      <c r="J456" s="7"/>
      <c r="K456" s="47">
        <v>22.0</v>
      </c>
      <c r="L456" s="7"/>
      <c r="M456" s="47">
        <v>6.0</v>
      </c>
      <c r="N456" s="7"/>
      <c r="O456" s="7"/>
      <c r="P456" s="7"/>
      <c r="Q456" s="47">
        <v>1.0</v>
      </c>
      <c r="R456" s="7"/>
      <c r="S456" s="7"/>
      <c r="T456" s="7"/>
      <c r="U456" s="7"/>
      <c r="V456" s="48">
        <f t="shared" ref="V456:V465" si="164">D456</f>
        <v>1</v>
      </c>
      <c r="W456" s="48">
        <f t="shared" ref="W456:W465" si="165">G456+I456+K456+M456+O456+Q456+S456</f>
        <v>50</v>
      </c>
      <c r="X456" s="48">
        <f t="shared" ref="X456:X466" si="166">V456+W456</f>
        <v>51</v>
      </c>
      <c r="Y456" s="49">
        <f t="shared" ref="Y456:Y465" si="167">B456*X456</f>
        <v>17085000</v>
      </c>
      <c r="Z456" s="4"/>
      <c r="AA456" s="4"/>
      <c r="AB456" s="4"/>
      <c r="AC456" s="3"/>
      <c r="AD456" s="3"/>
      <c r="AE456" s="2"/>
      <c r="AF456" s="3"/>
      <c r="AG456" s="3"/>
      <c r="AH456" s="3"/>
      <c r="AI456" s="2"/>
      <c r="AJ456" s="2"/>
      <c r="AK456" s="2"/>
      <c r="AL456" s="2"/>
      <c r="AM456" s="2"/>
      <c r="AN456" s="2"/>
      <c r="AO456" s="2"/>
      <c r="AP456" s="100"/>
      <c r="AQ456" s="2"/>
      <c r="AR456" s="2"/>
      <c r="AS456" s="3"/>
    </row>
    <row r="457">
      <c r="A457" s="7" t="s">
        <v>45</v>
      </c>
      <c r="B457" s="13">
        <v>395000.0</v>
      </c>
      <c r="C457" s="6"/>
      <c r="D457" s="7"/>
      <c r="E457" s="7"/>
      <c r="F457" s="7"/>
      <c r="G457" s="47">
        <v>17.0</v>
      </c>
      <c r="H457" s="7"/>
      <c r="I457" s="47">
        <v>3.0</v>
      </c>
      <c r="J457" s="7"/>
      <c r="K457" s="7"/>
      <c r="L457" s="7"/>
      <c r="M457" s="47">
        <v>3.0</v>
      </c>
      <c r="N457" s="7"/>
      <c r="O457" s="7"/>
      <c r="P457" s="7"/>
      <c r="Q457" s="47">
        <v>3.0</v>
      </c>
      <c r="R457" s="7"/>
      <c r="S457" s="7"/>
      <c r="T457" s="7"/>
      <c r="U457" s="7"/>
      <c r="V457" s="54" t="str">
        <f t="shared" si="164"/>
        <v/>
      </c>
      <c r="W457" s="48">
        <f t="shared" si="165"/>
        <v>26</v>
      </c>
      <c r="X457" s="48">
        <f t="shared" si="166"/>
        <v>26</v>
      </c>
      <c r="Y457" s="49">
        <f t="shared" si="167"/>
        <v>10270000</v>
      </c>
      <c r="Z457" s="4"/>
      <c r="AA457" s="4"/>
      <c r="AB457" s="4"/>
      <c r="AC457" s="3"/>
      <c r="AD457" s="3"/>
      <c r="AE457" s="2"/>
      <c r="AF457" s="3"/>
      <c r="AG457" s="3"/>
      <c r="AH457" s="3"/>
      <c r="AI457" s="2"/>
      <c r="AJ457" s="2"/>
      <c r="AK457" s="2"/>
      <c r="AL457" s="2"/>
      <c r="AM457" s="2"/>
      <c r="AN457" s="2"/>
      <c r="AO457" s="2"/>
      <c r="AP457" s="100"/>
      <c r="AQ457" s="2"/>
      <c r="AR457" s="2"/>
      <c r="AS457" s="3"/>
    </row>
    <row r="458">
      <c r="A458" s="7" t="s">
        <v>48</v>
      </c>
      <c r="B458" s="46">
        <v>450000.0</v>
      </c>
      <c r="C458" s="7"/>
      <c r="D458" s="47">
        <v>1.0</v>
      </c>
      <c r="E458" s="7"/>
      <c r="F458" s="7"/>
      <c r="G458" s="47">
        <v>1.0</v>
      </c>
      <c r="H458" s="7"/>
      <c r="I458" s="7"/>
      <c r="J458" s="7"/>
      <c r="K458" s="47">
        <v>3.0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48">
        <f t="shared" si="164"/>
        <v>1</v>
      </c>
      <c r="W458" s="48">
        <f t="shared" si="165"/>
        <v>4</v>
      </c>
      <c r="X458" s="48">
        <f t="shared" si="166"/>
        <v>5</v>
      </c>
      <c r="Y458" s="49">
        <f t="shared" si="167"/>
        <v>2250000</v>
      </c>
      <c r="Z458" s="4"/>
      <c r="AA458" s="4"/>
      <c r="AB458" s="4"/>
      <c r="AC458" s="3"/>
      <c r="AD458" s="3"/>
      <c r="AE458" s="2"/>
      <c r="AF458" s="3"/>
      <c r="AG458" s="3"/>
      <c r="AH458" s="3"/>
      <c r="AI458" s="2"/>
      <c r="AJ458" s="2"/>
      <c r="AK458" s="2"/>
      <c r="AL458" s="2"/>
      <c r="AM458" s="2"/>
      <c r="AN458" s="2"/>
      <c r="AO458" s="2"/>
      <c r="AP458" s="100"/>
      <c r="AQ458" s="2"/>
      <c r="AR458" s="2"/>
      <c r="AS458" s="3"/>
    </row>
    <row r="459">
      <c r="A459" s="7" t="s">
        <v>50</v>
      </c>
      <c r="B459" s="46">
        <v>575000.0</v>
      </c>
      <c r="C459" s="7"/>
      <c r="D459" s="47">
        <v>1.0</v>
      </c>
      <c r="E459" s="7"/>
      <c r="F459" s="7"/>
      <c r="G459" s="47">
        <v>5.0</v>
      </c>
      <c r="H459" s="7"/>
      <c r="I459" s="7"/>
      <c r="J459" s="7"/>
      <c r="K459" s="7"/>
      <c r="L459" s="7"/>
      <c r="M459" s="47">
        <v>1.0</v>
      </c>
      <c r="N459" s="7"/>
      <c r="O459" s="7"/>
      <c r="P459" s="7"/>
      <c r="Q459" s="7"/>
      <c r="R459" s="7"/>
      <c r="S459" s="7"/>
      <c r="T459" s="7"/>
      <c r="U459" s="7"/>
      <c r="V459" s="48">
        <f t="shared" si="164"/>
        <v>1</v>
      </c>
      <c r="W459" s="48">
        <f t="shared" si="165"/>
        <v>6</v>
      </c>
      <c r="X459" s="48">
        <f t="shared" si="166"/>
        <v>7</v>
      </c>
      <c r="Y459" s="49">
        <f t="shared" si="167"/>
        <v>4025000</v>
      </c>
      <c r="Z459" s="4"/>
      <c r="AA459" s="4"/>
      <c r="AB459" s="4"/>
      <c r="AC459" s="3"/>
      <c r="AD459" s="3"/>
      <c r="AE459" s="2"/>
      <c r="AF459" s="3"/>
      <c r="AG459" s="3"/>
      <c r="AH459" s="3"/>
      <c r="AI459" s="2"/>
      <c r="AJ459" s="2"/>
      <c r="AK459" s="2"/>
      <c r="AL459" s="2"/>
      <c r="AM459" s="2"/>
      <c r="AN459" s="2"/>
      <c r="AO459" s="2"/>
      <c r="AP459" s="100"/>
      <c r="AQ459" s="2"/>
      <c r="AR459" s="2"/>
      <c r="AS459" s="3"/>
    </row>
    <row r="460">
      <c r="A460" s="7" t="s">
        <v>53</v>
      </c>
      <c r="B460" s="53">
        <v>262000.0</v>
      </c>
      <c r="C460" s="7"/>
      <c r="D460" s="47">
        <v>1.0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47">
        <v>1.0</v>
      </c>
      <c r="R460" s="7"/>
      <c r="S460" s="47">
        <v>1.0</v>
      </c>
      <c r="T460" s="7"/>
      <c r="U460" s="7"/>
      <c r="V460" s="48">
        <f t="shared" si="164"/>
        <v>1</v>
      </c>
      <c r="W460" s="48">
        <f t="shared" si="165"/>
        <v>2</v>
      </c>
      <c r="X460" s="48">
        <f t="shared" si="166"/>
        <v>3</v>
      </c>
      <c r="Y460" s="49">
        <f t="shared" si="167"/>
        <v>786000</v>
      </c>
      <c r="Z460" s="4"/>
      <c r="AA460" s="4"/>
      <c r="AB460" s="4"/>
      <c r="AC460" s="3"/>
      <c r="AD460" s="3"/>
      <c r="AE460" s="2"/>
      <c r="AF460" s="3"/>
      <c r="AG460" s="3"/>
      <c r="AH460" s="3"/>
      <c r="AI460" s="2"/>
      <c r="AJ460" s="2"/>
      <c r="AK460" s="2"/>
      <c r="AL460" s="2"/>
      <c r="AM460" s="2"/>
      <c r="AN460" s="2"/>
      <c r="AO460" s="2"/>
      <c r="AP460" s="100"/>
      <c r="AQ460" s="2"/>
      <c r="AR460" s="2"/>
      <c r="AS460" s="3"/>
    </row>
    <row r="461">
      <c r="A461" s="7" t="s">
        <v>55</v>
      </c>
      <c r="B461" s="53">
        <v>185000.0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47">
        <v>1.0</v>
      </c>
      <c r="T461" s="7"/>
      <c r="U461" s="7"/>
      <c r="V461" s="54" t="str">
        <f t="shared" si="164"/>
        <v/>
      </c>
      <c r="W461" s="48">
        <f t="shared" si="165"/>
        <v>1</v>
      </c>
      <c r="X461" s="48">
        <f t="shared" si="166"/>
        <v>1</v>
      </c>
      <c r="Y461" s="49">
        <f t="shared" si="167"/>
        <v>185000</v>
      </c>
      <c r="Z461" s="4"/>
      <c r="AA461" s="4"/>
      <c r="AB461" s="4"/>
      <c r="AC461" s="3"/>
      <c r="AD461" s="3"/>
      <c r="AE461" s="2"/>
      <c r="AF461" s="3"/>
      <c r="AG461" s="3"/>
      <c r="AH461" s="3"/>
      <c r="AI461" s="2"/>
      <c r="AJ461" s="2"/>
      <c r="AK461" s="2"/>
      <c r="AL461" s="2"/>
      <c r="AM461" s="2"/>
      <c r="AN461" s="2"/>
      <c r="AO461" s="2"/>
      <c r="AP461" s="100"/>
      <c r="AQ461" s="2"/>
      <c r="AR461" s="2"/>
      <c r="AS461" s="3"/>
    </row>
    <row r="462">
      <c r="A462" s="7" t="s">
        <v>57</v>
      </c>
      <c r="B462" s="53">
        <v>242000.0</v>
      </c>
      <c r="C462" s="7"/>
      <c r="D462" s="47">
        <v>1.0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47">
        <v>1.0</v>
      </c>
      <c r="R462" s="7"/>
      <c r="S462" s="47">
        <v>1.0</v>
      </c>
      <c r="T462" s="7"/>
      <c r="U462" s="7"/>
      <c r="V462" s="48">
        <f t="shared" si="164"/>
        <v>1</v>
      </c>
      <c r="W462" s="48">
        <f t="shared" si="165"/>
        <v>2</v>
      </c>
      <c r="X462" s="48">
        <f t="shared" si="166"/>
        <v>3</v>
      </c>
      <c r="Y462" s="49">
        <f t="shared" si="167"/>
        <v>726000</v>
      </c>
      <c r="Z462" s="4"/>
      <c r="AA462" s="4"/>
      <c r="AB462" s="4"/>
      <c r="AC462" s="3"/>
      <c r="AD462" s="3"/>
      <c r="AE462" s="2"/>
      <c r="AF462" s="3"/>
      <c r="AG462" s="3"/>
      <c r="AH462" s="3"/>
      <c r="AI462" s="2"/>
      <c r="AJ462" s="2"/>
      <c r="AK462" s="2"/>
      <c r="AL462" s="2"/>
      <c r="AM462" s="2"/>
      <c r="AN462" s="2"/>
      <c r="AO462" s="2"/>
      <c r="AP462" s="100"/>
      <c r="AQ462" s="2"/>
      <c r="AR462" s="2"/>
      <c r="AS462" s="3"/>
    </row>
    <row r="463">
      <c r="A463" s="7" t="s">
        <v>60</v>
      </c>
      <c r="B463" s="53">
        <v>202000.0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47">
        <v>1.0</v>
      </c>
      <c r="R463" s="7"/>
      <c r="S463" s="47">
        <v>1.0</v>
      </c>
      <c r="T463" s="7"/>
      <c r="U463" s="7"/>
      <c r="V463" s="54" t="str">
        <f t="shared" si="164"/>
        <v/>
      </c>
      <c r="W463" s="48">
        <f t="shared" si="165"/>
        <v>2</v>
      </c>
      <c r="X463" s="48">
        <f t="shared" si="166"/>
        <v>2</v>
      </c>
      <c r="Y463" s="49">
        <f t="shared" si="167"/>
        <v>404000</v>
      </c>
      <c r="Z463" s="4"/>
      <c r="AA463" s="4"/>
      <c r="AB463" s="4"/>
      <c r="AC463" s="3"/>
      <c r="AD463" s="3"/>
      <c r="AE463" s="2"/>
      <c r="AF463" s="3"/>
      <c r="AG463" s="3"/>
      <c r="AH463" s="3"/>
      <c r="AI463" s="2"/>
      <c r="AJ463" s="2"/>
      <c r="AK463" s="2"/>
      <c r="AL463" s="2"/>
      <c r="AM463" s="2"/>
      <c r="AN463" s="2"/>
      <c r="AO463" s="2"/>
      <c r="AP463" s="100"/>
      <c r="AQ463" s="2"/>
      <c r="AR463" s="2"/>
      <c r="AS463" s="3"/>
    </row>
    <row r="464">
      <c r="A464" s="7" t="s">
        <v>61</v>
      </c>
      <c r="B464" s="53">
        <v>175000.0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47">
        <v>1.0</v>
      </c>
      <c r="R464" s="7"/>
      <c r="S464" s="47">
        <v>1.0</v>
      </c>
      <c r="T464" s="7"/>
      <c r="U464" s="7"/>
      <c r="V464" s="54" t="str">
        <f t="shared" si="164"/>
        <v/>
      </c>
      <c r="W464" s="48">
        <f t="shared" si="165"/>
        <v>2</v>
      </c>
      <c r="X464" s="48">
        <f t="shared" si="166"/>
        <v>2</v>
      </c>
      <c r="Y464" s="49">
        <f t="shared" si="167"/>
        <v>350000</v>
      </c>
      <c r="Z464" s="4"/>
      <c r="AA464" s="4"/>
      <c r="AB464" s="4"/>
      <c r="AC464" s="3"/>
      <c r="AD464" s="3"/>
      <c r="AE464" s="2"/>
      <c r="AF464" s="3"/>
      <c r="AG464" s="3"/>
      <c r="AH464" s="3"/>
      <c r="AI464" s="2"/>
      <c r="AJ464" s="2"/>
      <c r="AK464" s="2"/>
      <c r="AL464" s="2"/>
      <c r="AM464" s="2"/>
      <c r="AN464" s="2"/>
      <c r="AO464" s="2"/>
      <c r="AP464" s="100"/>
      <c r="AQ464" s="2"/>
      <c r="AR464" s="2"/>
      <c r="AS464" s="3"/>
    </row>
    <row r="465">
      <c r="A465" s="7" t="s">
        <v>62</v>
      </c>
      <c r="B465" s="53">
        <v>233000.0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54" t="str">
        <f t="shared" si="164"/>
        <v/>
      </c>
      <c r="W465" s="48">
        <f t="shared" si="165"/>
        <v>0</v>
      </c>
      <c r="X465" s="48">
        <f t="shared" si="166"/>
        <v>0</v>
      </c>
      <c r="Y465" s="49">
        <f t="shared" si="167"/>
        <v>0</v>
      </c>
      <c r="Z465" s="4"/>
      <c r="AA465" s="4"/>
      <c r="AB465" s="4"/>
      <c r="AC465" s="3"/>
      <c r="AD465" s="3"/>
      <c r="AE465" s="2"/>
      <c r="AF465" s="3"/>
      <c r="AG465" s="3"/>
      <c r="AH465" s="3"/>
      <c r="AI465" s="2"/>
      <c r="AJ465" s="2"/>
      <c r="AK465" s="2"/>
      <c r="AL465" s="2"/>
      <c r="AM465" s="2"/>
      <c r="AN465" s="2"/>
      <c r="AO465" s="2"/>
      <c r="AP465" s="100"/>
      <c r="AQ465" s="2"/>
      <c r="AR465" s="2"/>
      <c r="AS465" s="3"/>
    </row>
    <row r="466">
      <c r="A466" s="7" t="s">
        <v>63</v>
      </c>
      <c r="B466" s="8"/>
      <c r="C466" s="7"/>
      <c r="D466" s="47">
        <f t="shared" ref="D466:W466" si="168">SUM(D456:D465)</f>
        <v>5</v>
      </c>
      <c r="E466" s="47">
        <f t="shared" si="168"/>
        <v>0</v>
      </c>
      <c r="F466" s="47">
        <f t="shared" si="168"/>
        <v>0</v>
      </c>
      <c r="G466" s="47">
        <f t="shared" si="168"/>
        <v>36</v>
      </c>
      <c r="H466" s="47">
        <f t="shared" si="168"/>
        <v>0</v>
      </c>
      <c r="I466" s="47">
        <f t="shared" si="168"/>
        <v>11</v>
      </c>
      <c r="J466" s="47">
        <f t="shared" si="168"/>
        <v>0</v>
      </c>
      <c r="K466" s="47">
        <f t="shared" si="168"/>
        <v>25</v>
      </c>
      <c r="L466" s="47">
        <f t="shared" si="168"/>
        <v>0</v>
      </c>
      <c r="M466" s="47">
        <f t="shared" si="168"/>
        <v>10</v>
      </c>
      <c r="N466" s="47">
        <f t="shared" si="168"/>
        <v>0</v>
      </c>
      <c r="O466" s="47">
        <f t="shared" si="168"/>
        <v>0</v>
      </c>
      <c r="P466" s="47">
        <f t="shared" si="168"/>
        <v>0</v>
      </c>
      <c r="Q466" s="47">
        <f t="shared" si="168"/>
        <v>8</v>
      </c>
      <c r="R466" s="47">
        <f t="shared" si="168"/>
        <v>0</v>
      </c>
      <c r="S466" s="47">
        <f t="shared" si="168"/>
        <v>5</v>
      </c>
      <c r="T466" s="47">
        <f t="shared" si="168"/>
        <v>0</v>
      </c>
      <c r="U466" s="47">
        <f t="shared" si="168"/>
        <v>0</v>
      </c>
      <c r="V466" s="101">
        <f t="shared" si="168"/>
        <v>5</v>
      </c>
      <c r="W466" s="101">
        <f t="shared" si="168"/>
        <v>95</v>
      </c>
      <c r="X466" s="48">
        <f t="shared" si="166"/>
        <v>100</v>
      </c>
      <c r="Y466" s="102">
        <f>SUM(Y456:Y465)</f>
        <v>36081000</v>
      </c>
      <c r="Z466" s="4"/>
      <c r="AA466" s="4"/>
      <c r="AB466" s="4"/>
      <c r="AC466" s="3"/>
      <c r="AD466" s="3"/>
      <c r="AE466" s="2"/>
      <c r="AF466" s="3"/>
      <c r="AG466" s="3"/>
      <c r="AH466" s="3"/>
      <c r="AI466" s="2"/>
      <c r="AJ466" s="2"/>
      <c r="AK466" s="2"/>
      <c r="AL466" s="2"/>
      <c r="AM466" s="2"/>
      <c r="AN466" s="2"/>
      <c r="AO466" s="2"/>
      <c r="AP466" s="100"/>
      <c r="AQ466" s="2"/>
      <c r="AR466" s="2"/>
      <c r="AS466" s="3"/>
    </row>
    <row r="467">
      <c r="A467" s="7" t="s">
        <v>64</v>
      </c>
      <c r="B467" s="8"/>
      <c r="C467" s="7"/>
      <c r="D467" s="7"/>
      <c r="E467" s="7"/>
      <c r="F467" s="7"/>
      <c r="G467" s="47">
        <f>G466-H466</f>
        <v>36</v>
      </c>
      <c r="H467" s="7"/>
      <c r="I467" s="47">
        <f>I466-J466</f>
        <v>11</v>
      </c>
      <c r="J467" s="7"/>
      <c r="K467" s="47">
        <f>K466-L466</f>
        <v>25</v>
      </c>
      <c r="L467" s="7"/>
      <c r="M467" s="47">
        <f>M466-N466</f>
        <v>10</v>
      </c>
      <c r="N467" s="7"/>
      <c r="O467" s="47">
        <f>O466-P466</f>
        <v>0</v>
      </c>
      <c r="P467" s="7"/>
      <c r="Q467" s="47">
        <f>Q466-R466</f>
        <v>8</v>
      </c>
      <c r="R467" s="7"/>
      <c r="S467" s="47">
        <f>S466-T466</f>
        <v>5</v>
      </c>
      <c r="T467" s="7"/>
      <c r="U467" s="7"/>
      <c r="V467" s="54"/>
      <c r="W467" s="54"/>
      <c r="X467" s="48">
        <f>sum(X456:X466)</f>
        <v>200</v>
      </c>
      <c r="Y467" s="55"/>
      <c r="Z467" s="4"/>
      <c r="AA467" s="4"/>
      <c r="AB467" s="4"/>
      <c r="AC467" s="3"/>
      <c r="AD467" s="3"/>
      <c r="AE467" s="2"/>
      <c r="AF467" s="3"/>
      <c r="AG467" s="3"/>
      <c r="AH467" s="3"/>
      <c r="AI467" s="2"/>
      <c r="AJ467" s="2"/>
      <c r="AK467" s="2"/>
      <c r="AL467" s="2"/>
      <c r="AM467" s="2"/>
      <c r="AN467" s="2"/>
      <c r="AO467" s="2"/>
      <c r="AP467" s="100"/>
      <c r="AQ467" s="2"/>
      <c r="AR467" s="2"/>
      <c r="AS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4"/>
      <c r="AA468" s="4"/>
      <c r="AB468" s="4"/>
      <c r="AC468" s="3"/>
      <c r="AD468" s="3"/>
      <c r="AE468" s="2"/>
      <c r="AF468" s="3"/>
      <c r="AG468" s="3"/>
      <c r="AH468" s="3"/>
      <c r="AI468" s="2"/>
      <c r="AJ468" s="2"/>
      <c r="AK468" s="2"/>
      <c r="AL468" s="2"/>
      <c r="AM468" s="2"/>
      <c r="AN468" s="2"/>
      <c r="AO468" s="2"/>
      <c r="AP468" s="100"/>
      <c r="AQ468" s="2"/>
      <c r="AR468" s="2"/>
      <c r="AS468" s="3"/>
    </row>
    <row r="469">
      <c r="A469" s="7"/>
      <c r="B469" s="8"/>
      <c r="C469" s="7"/>
      <c r="D469" s="9">
        <v>46022.0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  <c r="X469" s="6"/>
      <c r="Y469" s="6"/>
      <c r="Z469" s="4"/>
      <c r="AA469" s="4"/>
      <c r="AB469" s="4"/>
      <c r="AC469" s="3"/>
      <c r="AD469" s="3"/>
      <c r="AE469" s="2"/>
      <c r="AF469" s="3"/>
      <c r="AG469" s="3"/>
      <c r="AH469" s="3"/>
      <c r="AI469" s="2"/>
      <c r="AJ469" s="2"/>
      <c r="AK469" s="2"/>
      <c r="AL469" s="2"/>
      <c r="AM469" s="2"/>
      <c r="AN469" s="2"/>
      <c r="AO469" s="2"/>
      <c r="AP469" s="100"/>
      <c r="AQ469" s="2"/>
      <c r="AR469" s="2"/>
      <c r="AS469" s="3"/>
    </row>
    <row r="470">
      <c r="A470" s="70" t="s">
        <v>6</v>
      </c>
      <c r="B470" s="34" t="b">
        <v>0</v>
      </c>
      <c r="C470" s="7"/>
      <c r="D470" s="71" t="s">
        <v>7</v>
      </c>
      <c r="E470" s="11"/>
      <c r="F470" s="7"/>
      <c r="G470" s="71" t="s">
        <v>8</v>
      </c>
      <c r="H470" s="11"/>
      <c r="I470" s="71" t="s">
        <v>9</v>
      </c>
      <c r="J470" s="11"/>
      <c r="K470" s="71" t="s">
        <v>10</v>
      </c>
      <c r="L470" s="11"/>
      <c r="M470" s="71" t="s">
        <v>11</v>
      </c>
      <c r="N470" s="11"/>
      <c r="O470" s="71" t="s">
        <v>12</v>
      </c>
      <c r="P470" s="11"/>
      <c r="Q470" s="71" t="s">
        <v>91</v>
      </c>
      <c r="R470" s="11"/>
      <c r="S470" s="71" t="s">
        <v>14</v>
      </c>
      <c r="T470" s="11"/>
      <c r="U470" s="35" t="s">
        <v>15</v>
      </c>
      <c r="V470" s="73" t="s">
        <v>16</v>
      </c>
      <c r="W470" s="10"/>
      <c r="X470" s="10"/>
      <c r="Y470" s="11"/>
      <c r="Z470" s="4"/>
      <c r="AA470" s="4"/>
      <c r="AB470" s="4"/>
      <c r="AC470" s="3"/>
      <c r="AD470" s="3"/>
      <c r="AE470" s="2"/>
      <c r="AF470" s="3"/>
      <c r="AG470" s="3"/>
      <c r="AH470" s="3"/>
      <c r="AI470" s="2"/>
      <c r="AJ470" s="2"/>
      <c r="AK470" s="2"/>
      <c r="AL470" s="2"/>
      <c r="AM470" s="2"/>
      <c r="AN470" s="2"/>
      <c r="AO470" s="2"/>
      <c r="AP470" s="100"/>
      <c r="AQ470" s="2"/>
      <c r="AR470" s="2"/>
      <c r="AS470" s="3"/>
    </row>
    <row r="471">
      <c r="A471" s="7"/>
      <c r="B471" s="34" t="s">
        <v>28</v>
      </c>
      <c r="C471" s="35" t="s">
        <v>29</v>
      </c>
      <c r="D471" s="35" t="s">
        <v>30</v>
      </c>
      <c r="E471" s="35" t="s">
        <v>31</v>
      </c>
      <c r="F471" s="35" t="s">
        <v>32</v>
      </c>
      <c r="G471" s="35" t="s">
        <v>33</v>
      </c>
      <c r="H471" s="35" t="s">
        <v>31</v>
      </c>
      <c r="I471" s="35" t="s">
        <v>33</v>
      </c>
      <c r="J471" s="35" t="s">
        <v>31</v>
      </c>
      <c r="K471" s="35" t="s">
        <v>33</v>
      </c>
      <c r="L471" s="35" t="s">
        <v>31</v>
      </c>
      <c r="M471" s="35" t="s">
        <v>33</v>
      </c>
      <c r="N471" s="35" t="s">
        <v>31</v>
      </c>
      <c r="O471" s="35" t="s">
        <v>33</v>
      </c>
      <c r="P471" s="35" t="s">
        <v>31</v>
      </c>
      <c r="Q471" s="35" t="s">
        <v>33</v>
      </c>
      <c r="R471" s="35" t="s">
        <v>31</v>
      </c>
      <c r="S471" s="35" t="s">
        <v>33</v>
      </c>
      <c r="T471" s="35" t="s">
        <v>31</v>
      </c>
      <c r="U471" s="35" t="s">
        <v>34</v>
      </c>
      <c r="V471" s="36" t="s">
        <v>7</v>
      </c>
      <c r="W471" s="36" t="s">
        <v>35</v>
      </c>
      <c r="X471" s="36" t="s">
        <v>36</v>
      </c>
      <c r="Y471" s="36" t="s">
        <v>37</v>
      </c>
      <c r="Z471" s="4"/>
      <c r="AA471" s="4"/>
      <c r="AB471" s="4"/>
      <c r="AC471" s="3"/>
      <c r="AD471" s="3"/>
      <c r="AE471" s="2"/>
      <c r="AF471" s="3"/>
      <c r="AG471" s="3"/>
      <c r="AH471" s="3"/>
      <c r="AI471" s="2"/>
      <c r="AJ471" s="2"/>
      <c r="AK471" s="2"/>
      <c r="AL471" s="2"/>
      <c r="AM471" s="2"/>
      <c r="AN471" s="2"/>
      <c r="AO471" s="2"/>
      <c r="AP471" s="100"/>
      <c r="AQ471" s="2"/>
      <c r="AR471" s="2"/>
      <c r="AS471" s="3"/>
    </row>
    <row r="472">
      <c r="A472" s="7" t="s">
        <v>42</v>
      </c>
      <c r="B472" s="46">
        <v>335000.0</v>
      </c>
      <c r="C472" s="7"/>
      <c r="D472" s="47">
        <v>1.0</v>
      </c>
      <c r="E472" s="7"/>
      <c r="F472" s="7"/>
      <c r="G472" s="47">
        <v>13.0</v>
      </c>
      <c r="H472" s="7"/>
      <c r="I472" s="47">
        <v>8.0</v>
      </c>
      <c r="J472" s="7"/>
      <c r="K472" s="47">
        <v>22.0</v>
      </c>
      <c r="L472" s="7"/>
      <c r="M472" s="47">
        <v>6.0</v>
      </c>
      <c r="N472" s="7"/>
      <c r="O472" s="7"/>
      <c r="P472" s="7"/>
      <c r="Q472" s="47">
        <v>1.0</v>
      </c>
      <c r="R472" s="7"/>
      <c r="S472" s="7"/>
      <c r="T472" s="7"/>
      <c r="U472" s="7"/>
      <c r="V472" s="48">
        <f t="shared" ref="V472:V481" si="169">D472</f>
        <v>1</v>
      </c>
      <c r="W472" s="48">
        <f t="shared" ref="W472:W481" si="170">G472+I472+K472+M472+O472+Q472+S472</f>
        <v>50</v>
      </c>
      <c r="X472" s="48">
        <f t="shared" ref="X472:X482" si="171">V472+W472</f>
        <v>51</v>
      </c>
      <c r="Y472" s="49">
        <f t="shared" ref="Y472:Y481" si="172">B472*X472</f>
        <v>17085000</v>
      </c>
      <c r="Z472" s="4"/>
      <c r="AA472" s="4"/>
      <c r="AB472" s="4"/>
      <c r="AC472" s="3"/>
      <c r="AD472" s="3"/>
      <c r="AE472" s="2"/>
      <c r="AF472" s="3"/>
      <c r="AG472" s="3"/>
      <c r="AH472" s="3"/>
      <c r="AI472" s="2"/>
      <c r="AJ472" s="2"/>
      <c r="AK472" s="2"/>
      <c r="AL472" s="2"/>
      <c r="AM472" s="2"/>
      <c r="AN472" s="2"/>
      <c r="AO472" s="2"/>
      <c r="AP472" s="100"/>
      <c r="AQ472" s="2"/>
      <c r="AR472" s="2"/>
      <c r="AS472" s="3"/>
    </row>
    <row r="473">
      <c r="A473" s="7" t="s">
        <v>45</v>
      </c>
      <c r="B473" s="13">
        <v>395000.0</v>
      </c>
      <c r="C473" s="6"/>
      <c r="D473" s="7"/>
      <c r="E473" s="7"/>
      <c r="F473" s="7"/>
      <c r="G473" s="47">
        <v>17.0</v>
      </c>
      <c r="H473" s="7"/>
      <c r="I473" s="47">
        <v>3.0</v>
      </c>
      <c r="J473" s="7"/>
      <c r="K473" s="7"/>
      <c r="L473" s="7"/>
      <c r="M473" s="47">
        <v>3.0</v>
      </c>
      <c r="N473" s="7"/>
      <c r="O473" s="7"/>
      <c r="P473" s="7"/>
      <c r="Q473" s="47">
        <v>3.0</v>
      </c>
      <c r="R473" s="7"/>
      <c r="S473" s="7"/>
      <c r="T473" s="7"/>
      <c r="U473" s="7"/>
      <c r="V473" s="54" t="str">
        <f t="shared" si="169"/>
        <v/>
      </c>
      <c r="W473" s="48">
        <f t="shared" si="170"/>
        <v>26</v>
      </c>
      <c r="X473" s="48">
        <f t="shared" si="171"/>
        <v>26</v>
      </c>
      <c r="Y473" s="49">
        <f t="shared" si="172"/>
        <v>10270000</v>
      </c>
      <c r="Z473" s="4"/>
      <c r="AA473" s="4"/>
      <c r="AB473" s="4"/>
      <c r="AC473" s="3"/>
      <c r="AD473" s="3"/>
      <c r="AE473" s="2"/>
      <c r="AF473" s="3"/>
      <c r="AG473" s="3"/>
      <c r="AH473" s="3"/>
      <c r="AI473" s="2"/>
      <c r="AJ473" s="2"/>
      <c r="AK473" s="2"/>
      <c r="AL473" s="2"/>
      <c r="AM473" s="2"/>
      <c r="AN473" s="2"/>
      <c r="AO473" s="2"/>
      <c r="AP473" s="100"/>
      <c r="AQ473" s="2"/>
      <c r="AR473" s="2"/>
      <c r="AS473" s="3"/>
    </row>
    <row r="474">
      <c r="A474" s="7" t="s">
        <v>48</v>
      </c>
      <c r="B474" s="46">
        <v>450000.0</v>
      </c>
      <c r="C474" s="7"/>
      <c r="D474" s="47">
        <v>1.0</v>
      </c>
      <c r="E474" s="7"/>
      <c r="F474" s="7"/>
      <c r="G474" s="47">
        <v>1.0</v>
      </c>
      <c r="H474" s="7"/>
      <c r="I474" s="7"/>
      <c r="J474" s="7"/>
      <c r="K474" s="47">
        <v>3.0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48">
        <f t="shared" si="169"/>
        <v>1</v>
      </c>
      <c r="W474" s="48">
        <f t="shared" si="170"/>
        <v>4</v>
      </c>
      <c r="X474" s="48">
        <f t="shared" si="171"/>
        <v>5</v>
      </c>
      <c r="Y474" s="49">
        <f t="shared" si="172"/>
        <v>2250000</v>
      </c>
      <c r="Z474" s="4"/>
      <c r="AA474" s="4"/>
      <c r="AB474" s="4"/>
      <c r="AC474" s="3"/>
      <c r="AD474" s="3"/>
      <c r="AE474" s="2"/>
      <c r="AF474" s="3"/>
      <c r="AG474" s="3"/>
      <c r="AH474" s="3"/>
      <c r="AI474" s="2"/>
      <c r="AJ474" s="2"/>
      <c r="AK474" s="2"/>
      <c r="AL474" s="2"/>
      <c r="AM474" s="2"/>
      <c r="AN474" s="2"/>
      <c r="AO474" s="2"/>
      <c r="AP474" s="100"/>
      <c r="AQ474" s="2"/>
      <c r="AR474" s="2"/>
      <c r="AS474" s="3"/>
    </row>
    <row r="475">
      <c r="A475" s="7" t="s">
        <v>50</v>
      </c>
      <c r="B475" s="46">
        <v>575000.0</v>
      </c>
      <c r="C475" s="7"/>
      <c r="D475" s="47">
        <v>1.0</v>
      </c>
      <c r="E475" s="7"/>
      <c r="F475" s="7"/>
      <c r="G475" s="47">
        <v>5.0</v>
      </c>
      <c r="H475" s="7"/>
      <c r="I475" s="7"/>
      <c r="J475" s="7"/>
      <c r="K475" s="7"/>
      <c r="L475" s="7"/>
      <c r="M475" s="47">
        <v>1.0</v>
      </c>
      <c r="N475" s="7"/>
      <c r="O475" s="7"/>
      <c r="P475" s="7"/>
      <c r="Q475" s="7"/>
      <c r="R475" s="7"/>
      <c r="S475" s="7"/>
      <c r="T475" s="7"/>
      <c r="U475" s="7"/>
      <c r="V475" s="48">
        <f t="shared" si="169"/>
        <v>1</v>
      </c>
      <c r="W475" s="48">
        <f t="shared" si="170"/>
        <v>6</v>
      </c>
      <c r="X475" s="48">
        <f t="shared" si="171"/>
        <v>7</v>
      </c>
      <c r="Y475" s="49">
        <f t="shared" si="172"/>
        <v>4025000</v>
      </c>
      <c r="Z475" s="4"/>
      <c r="AA475" s="4"/>
      <c r="AB475" s="4"/>
      <c r="AC475" s="3"/>
      <c r="AD475" s="3"/>
      <c r="AE475" s="2"/>
      <c r="AF475" s="3"/>
      <c r="AG475" s="3"/>
      <c r="AH475" s="3"/>
      <c r="AI475" s="2"/>
      <c r="AJ475" s="2"/>
      <c r="AK475" s="2"/>
      <c r="AL475" s="2"/>
      <c r="AM475" s="2"/>
      <c r="AN475" s="2"/>
      <c r="AO475" s="2"/>
      <c r="AP475" s="100"/>
      <c r="AQ475" s="2"/>
      <c r="AR475" s="2"/>
      <c r="AS475" s="3"/>
    </row>
    <row r="476">
      <c r="A476" s="7" t="s">
        <v>53</v>
      </c>
      <c r="B476" s="53">
        <v>262000.0</v>
      </c>
      <c r="C476" s="7"/>
      <c r="D476" s="47">
        <v>1.0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47">
        <v>1.0</v>
      </c>
      <c r="R476" s="7"/>
      <c r="S476" s="47">
        <v>1.0</v>
      </c>
      <c r="T476" s="7"/>
      <c r="U476" s="7"/>
      <c r="V476" s="48">
        <f t="shared" si="169"/>
        <v>1</v>
      </c>
      <c r="W476" s="48">
        <f t="shared" si="170"/>
        <v>2</v>
      </c>
      <c r="X476" s="48">
        <f t="shared" si="171"/>
        <v>3</v>
      </c>
      <c r="Y476" s="49">
        <f t="shared" si="172"/>
        <v>786000</v>
      </c>
      <c r="Z476" s="4"/>
      <c r="AA476" s="4"/>
      <c r="AB476" s="4"/>
      <c r="AC476" s="3"/>
      <c r="AD476" s="3"/>
      <c r="AE476" s="2"/>
      <c r="AF476" s="3"/>
      <c r="AG476" s="3"/>
      <c r="AH476" s="3"/>
      <c r="AI476" s="2"/>
      <c r="AJ476" s="2"/>
      <c r="AK476" s="2"/>
      <c r="AL476" s="2"/>
      <c r="AM476" s="2"/>
      <c r="AN476" s="2"/>
      <c r="AO476" s="2"/>
      <c r="AP476" s="100"/>
      <c r="AQ476" s="2"/>
      <c r="AR476" s="2"/>
      <c r="AS476" s="3"/>
    </row>
    <row r="477">
      <c r="A477" s="7" t="s">
        <v>55</v>
      </c>
      <c r="B477" s="53">
        <v>185000.0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47">
        <v>1.0</v>
      </c>
      <c r="T477" s="7"/>
      <c r="U477" s="7"/>
      <c r="V477" s="54" t="str">
        <f t="shared" si="169"/>
        <v/>
      </c>
      <c r="W477" s="48">
        <f t="shared" si="170"/>
        <v>1</v>
      </c>
      <c r="X477" s="48">
        <f t="shared" si="171"/>
        <v>1</v>
      </c>
      <c r="Y477" s="49">
        <f t="shared" si="172"/>
        <v>185000</v>
      </c>
      <c r="Z477" s="4"/>
      <c r="AA477" s="4"/>
      <c r="AB477" s="4"/>
      <c r="AC477" s="3"/>
      <c r="AD477" s="3"/>
      <c r="AE477" s="2"/>
      <c r="AF477" s="3"/>
      <c r="AG477" s="3"/>
      <c r="AH477" s="3"/>
      <c r="AI477" s="2"/>
      <c r="AJ477" s="2"/>
      <c r="AK477" s="2"/>
      <c r="AL477" s="2"/>
      <c r="AM477" s="2"/>
      <c r="AN477" s="2"/>
      <c r="AO477" s="2"/>
      <c r="AP477" s="100"/>
      <c r="AQ477" s="2"/>
      <c r="AR477" s="2"/>
      <c r="AS477" s="3"/>
    </row>
    <row r="478">
      <c r="A478" s="7" t="s">
        <v>57</v>
      </c>
      <c r="B478" s="53">
        <v>242000.0</v>
      </c>
      <c r="C478" s="7"/>
      <c r="D478" s="47">
        <v>1.0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47">
        <v>1.0</v>
      </c>
      <c r="R478" s="7"/>
      <c r="S478" s="47">
        <v>1.0</v>
      </c>
      <c r="T478" s="7"/>
      <c r="U478" s="7"/>
      <c r="V478" s="48">
        <f t="shared" si="169"/>
        <v>1</v>
      </c>
      <c r="W478" s="48">
        <f t="shared" si="170"/>
        <v>2</v>
      </c>
      <c r="X478" s="48">
        <f t="shared" si="171"/>
        <v>3</v>
      </c>
      <c r="Y478" s="49">
        <f t="shared" si="172"/>
        <v>726000</v>
      </c>
      <c r="Z478" s="4"/>
      <c r="AA478" s="4"/>
      <c r="AB478" s="4"/>
      <c r="AC478" s="3"/>
      <c r="AD478" s="3"/>
      <c r="AE478" s="2"/>
      <c r="AF478" s="3"/>
      <c r="AG478" s="3"/>
      <c r="AH478" s="3"/>
      <c r="AI478" s="2"/>
      <c r="AJ478" s="2"/>
      <c r="AK478" s="2"/>
      <c r="AL478" s="2"/>
      <c r="AM478" s="2"/>
      <c r="AN478" s="2"/>
      <c r="AO478" s="2"/>
      <c r="AP478" s="100"/>
      <c r="AQ478" s="2"/>
      <c r="AR478" s="2"/>
      <c r="AS478" s="3"/>
    </row>
    <row r="479">
      <c r="A479" s="7" t="s">
        <v>60</v>
      </c>
      <c r="B479" s="53">
        <v>202000.0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47">
        <v>1.0</v>
      </c>
      <c r="R479" s="7"/>
      <c r="S479" s="47">
        <v>1.0</v>
      </c>
      <c r="T479" s="7"/>
      <c r="U479" s="7"/>
      <c r="V479" s="54" t="str">
        <f t="shared" si="169"/>
        <v/>
      </c>
      <c r="W479" s="48">
        <f t="shared" si="170"/>
        <v>2</v>
      </c>
      <c r="X479" s="48">
        <f t="shared" si="171"/>
        <v>2</v>
      </c>
      <c r="Y479" s="49">
        <f t="shared" si="172"/>
        <v>404000</v>
      </c>
      <c r="Z479" s="4"/>
      <c r="AA479" s="4"/>
      <c r="AB479" s="4"/>
      <c r="AC479" s="3"/>
      <c r="AD479" s="3"/>
      <c r="AE479" s="2"/>
      <c r="AF479" s="3"/>
      <c r="AG479" s="3"/>
      <c r="AH479" s="3"/>
      <c r="AI479" s="2"/>
      <c r="AJ479" s="2"/>
      <c r="AK479" s="2"/>
      <c r="AL479" s="2"/>
      <c r="AM479" s="2"/>
      <c r="AN479" s="2"/>
      <c r="AO479" s="2"/>
      <c r="AP479" s="100"/>
      <c r="AQ479" s="2"/>
      <c r="AR479" s="2"/>
      <c r="AS479" s="3"/>
    </row>
    <row r="480">
      <c r="A480" s="7" t="s">
        <v>61</v>
      </c>
      <c r="B480" s="53">
        <v>175000.0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47">
        <v>1.0</v>
      </c>
      <c r="R480" s="7"/>
      <c r="S480" s="47">
        <v>1.0</v>
      </c>
      <c r="T480" s="7"/>
      <c r="U480" s="7"/>
      <c r="V480" s="54" t="str">
        <f t="shared" si="169"/>
        <v/>
      </c>
      <c r="W480" s="48">
        <f t="shared" si="170"/>
        <v>2</v>
      </c>
      <c r="X480" s="48">
        <f t="shared" si="171"/>
        <v>2</v>
      </c>
      <c r="Y480" s="49">
        <f t="shared" si="172"/>
        <v>350000</v>
      </c>
      <c r="Z480" s="4"/>
      <c r="AA480" s="4"/>
      <c r="AB480" s="4"/>
      <c r="AC480" s="3"/>
      <c r="AD480" s="3"/>
      <c r="AE480" s="2"/>
      <c r="AF480" s="3"/>
      <c r="AG480" s="3"/>
      <c r="AH480" s="3"/>
      <c r="AI480" s="2"/>
      <c r="AJ480" s="2"/>
      <c r="AK480" s="2"/>
      <c r="AL480" s="2"/>
      <c r="AM480" s="2"/>
      <c r="AN480" s="2"/>
      <c r="AO480" s="2"/>
      <c r="AP480" s="100"/>
      <c r="AQ480" s="2"/>
      <c r="AR480" s="2"/>
      <c r="AS480" s="3"/>
    </row>
    <row r="481">
      <c r="A481" s="7" t="s">
        <v>62</v>
      </c>
      <c r="B481" s="53">
        <v>233000.0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54" t="str">
        <f t="shared" si="169"/>
        <v/>
      </c>
      <c r="W481" s="48">
        <f t="shared" si="170"/>
        <v>0</v>
      </c>
      <c r="X481" s="48">
        <f t="shared" si="171"/>
        <v>0</v>
      </c>
      <c r="Y481" s="49">
        <f t="shared" si="172"/>
        <v>0</v>
      </c>
      <c r="Z481" s="4"/>
      <c r="AA481" s="4"/>
      <c r="AB481" s="4"/>
      <c r="AC481" s="3"/>
      <c r="AD481" s="3"/>
      <c r="AE481" s="2"/>
      <c r="AF481" s="3"/>
      <c r="AG481" s="3"/>
      <c r="AH481" s="3"/>
      <c r="AI481" s="2"/>
      <c r="AJ481" s="2"/>
      <c r="AK481" s="2"/>
      <c r="AL481" s="2"/>
      <c r="AM481" s="2"/>
      <c r="AN481" s="2"/>
      <c r="AO481" s="2"/>
      <c r="AP481" s="100"/>
      <c r="AQ481" s="2"/>
      <c r="AR481" s="2"/>
      <c r="AS481" s="3"/>
    </row>
    <row r="482">
      <c r="A482" s="7" t="s">
        <v>63</v>
      </c>
      <c r="B482" s="8"/>
      <c r="C482" s="7"/>
      <c r="D482" s="47">
        <f t="shared" ref="D482:W482" si="173">SUM(D472:D481)</f>
        <v>5</v>
      </c>
      <c r="E482" s="47">
        <f t="shared" si="173"/>
        <v>0</v>
      </c>
      <c r="F482" s="47">
        <f t="shared" si="173"/>
        <v>0</v>
      </c>
      <c r="G482" s="47">
        <f t="shared" si="173"/>
        <v>36</v>
      </c>
      <c r="H482" s="47">
        <f t="shared" si="173"/>
        <v>0</v>
      </c>
      <c r="I482" s="47">
        <f t="shared" si="173"/>
        <v>11</v>
      </c>
      <c r="J482" s="47">
        <f t="shared" si="173"/>
        <v>0</v>
      </c>
      <c r="K482" s="47">
        <f t="shared" si="173"/>
        <v>25</v>
      </c>
      <c r="L482" s="47">
        <f t="shared" si="173"/>
        <v>0</v>
      </c>
      <c r="M482" s="47">
        <f t="shared" si="173"/>
        <v>10</v>
      </c>
      <c r="N482" s="47">
        <f t="shared" si="173"/>
        <v>0</v>
      </c>
      <c r="O482" s="47">
        <f t="shared" si="173"/>
        <v>0</v>
      </c>
      <c r="P482" s="47">
        <f t="shared" si="173"/>
        <v>0</v>
      </c>
      <c r="Q482" s="47">
        <f t="shared" si="173"/>
        <v>8</v>
      </c>
      <c r="R482" s="47">
        <f t="shared" si="173"/>
        <v>0</v>
      </c>
      <c r="S482" s="47">
        <f t="shared" si="173"/>
        <v>5</v>
      </c>
      <c r="T482" s="47">
        <f t="shared" si="173"/>
        <v>0</v>
      </c>
      <c r="U482" s="47">
        <f t="shared" si="173"/>
        <v>0</v>
      </c>
      <c r="V482" s="101">
        <f t="shared" si="173"/>
        <v>5</v>
      </c>
      <c r="W482" s="101">
        <f t="shared" si="173"/>
        <v>95</v>
      </c>
      <c r="X482" s="48">
        <f t="shared" si="171"/>
        <v>100</v>
      </c>
      <c r="Y482" s="102">
        <f>SUM(Y472:Y481)</f>
        <v>36081000</v>
      </c>
      <c r="Z482" s="4"/>
      <c r="AA482" s="4"/>
      <c r="AB482" s="4"/>
      <c r="AC482" s="3"/>
      <c r="AD482" s="3"/>
      <c r="AE482" s="2"/>
      <c r="AF482" s="3"/>
      <c r="AG482" s="3"/>
      <c r="AH482" s="3"/>
      <c r="AI482" s="2"/>
      <c r="AJ482" s="2"/>
      <c r="AK482" s="2"/>
      <c r="AL482" s="2"/>
      <c r="AM482" s="2"/>
      <c r="AN482" s="2"/>
      <c r="AO482" s="2"/>
      <c r="AP482" s="100"/>
      <c r="AQ482" s="2"/>
      <c r="AR482" s="2"/>
      <c r="AS482" s="3"/>
    </row>
    <row r="483">
      <c r="A483" s="7" t="s">
        <v>64</v>
      </c>
      <c r="B483" s="8"/>
      <c r="C483" s="7"/>
      <c r="D483" s="7"/>
      <c r="E483" s="7"/>
      <c r="F483" s="7"/>
      <c r="G483" s="47">
        <f>G482-H482</f>
        <v>36</v>
      </c>
      <c r="H483" s="7"/>
      <c r="I483" s="47">
        <f>I482-J482</f>
        <v>11</v>
      </c>
      <c r="J483" s="7"/>
      <c r="K483" s="47">
        <f>K482-L482</f>
        <v>25</v>
      </c>
      <c r="L483" s="7"/>
      <c r="M483" s="47">
        <f>M482-N482</f>
        <v>10</v>
      </c>
      <c r="N483" s="7"/>
      <c r="O483" s="47">
        <f>O482-P482</f>
        <v>0</v>
      </c>
      <c r="P483" s="7"/>
      <c r="Q483" s="47">
        <f>Q482-R482</f>
        <v>8</v>
      </c>
      <c r="R483" s="7"/>
      <c r="S483" s="47">
        <f>S482-T482</f>
        <v>5</v>
      </c>
      <c r="T483" s="7"/>
      <c r="U483" s="7"/>
      <c r="V483" s="54"/>
      <c r="W483" s="54"/>
      <c r="X483" s="48">
        <f>sum(X472:X482)</f>
        <v>200</v>
      </c>
      <c r="Y483" s="55"/>
      <c r="Z483" s="4"/>
      <c r="AA483" s="4"/>
      <c r="AB483" s="4"/>
      <c r="AC483" s="3"/>
      <c r="AD483" s="3"/>
      <c r="AE483" s="2"/>
      <c r="AF483" s="3"/>
      <c r="AG483" s="3"/>
      <c r="AH483" s="3"/>
      <c r="AI483" s="2"/>
      <c r="AJ483" s="2"/>
      <c r="AK483" s="2"/>
      <c r="AL483" s="2"/>
      <c r="AM483" s="2"/>
      <c r="AN483" s="2"/>
      <c r="AO483" s="2"/>
      <c r="AP483" s="100"/>
      <c r="AQ483" s="2"/>
      <c r="AR483" s="2"/>
      <c r="AS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4"/>
      <c r="AA484" s="4"/>
      <c r="AB484" s="4"/>
      <c r="AC484" s="3"/>
      <c r="AD484" s="3"/>
      <c r="AE484" s="2"/>
      <c r="AF484" s="3"/>
      <c r="AG484" s="3"/>
      <c r="AH484" s="3"/>
      <c r="AI484" s="2"/>
      <c r="AJ484" s="2"/>
      <c r="AK484" s="2"/>
      <c r="AL484" s="2"/>
      <c r="AM484" s="2"/>
      <c r="AN484" s="2"/>
      <c r="AO484" s="2"/>
      <c r="AP484" s="100"/>
      <c r="AQ484" s="2"/>
      <c r="AR484" s="2"/>
      <c r="AS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4"/>
      <c r="AA485" s="4"/>
      <c r="AB485" s="4"/>
      <c r="AC485" s="3"/>
      <c r="AD485" s="3"/>
      <c r="AE485" s="2"/>
      <c r="AF485" s="3"/>
      <c r="AG485" s="3"/>
      <c r="AH485" s="3"/>
      <c r="AI485" s="2"/>
      <c r="AJ485" s="2"/>
      <c r="AK485" s="2"/>
      <c r="AL485" s="2"/>
      <c r="AM485" s="2"/>
      <c r="AN485" s="2"/>
      <c r="AO485" s="2"/>
      <c r="AP485" s="100"/>
      <c r="AQ485" s="2"/>
      <c r="AR485" s="2"/>
      <c r="AS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4"/>
      <c r="AA486" s="4"/>
      <c r="AB486" s="4"/>
      <c r="AC486" s="3"/>
      <c r="AD486" s="3"/>
      <c r="AE486" s="2"/>
      <c r="AF486" s="3"/>
      <c r="AG486" s="3"/>
      <c r="AH486" s="3"/>
      <c r="AI486" s="2"/>
      <c r="AJ486" s="2"/>
      <c r="AK486" s="2"/>
      <c r="AL486" s="2"/>
      <c r="AM486" s="2"/>
      <c r="AN486" s="2"/>
      <c r="AO486" s="2"/>
      <c r="AP486" s="100"/>
      <c r="AQ486" s="2"/>
      <c r="AR486" s="2"/>
      <c r="AS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4"/>
      <c r="AA487" s="4"/>
      <c r="AB487" s="4"/>
      <c r="AC487" s="3"/>
      <c r="AD487" s="3"/>
      <c r="AE487" s="2"/>
      <c r="AF487" s="3"/>
      <c r="AG487" s="3"/>
      <c r="AH487" s="3"/>
      <c r="AI487" s="2"/>
      <c r="AJ487" s="2"/>
      <c r="AK487" s="2"/>
      <c r="AL487" s="2"/>
      <c r="AM487" s="2"/>
      <c r="AN487" s="2"/>
      <c r="AO487" s="2"/>
      <c r="AP487" s="100"/>
      <c r="AQ487" s="2"/>
      <c r="AR487" s="2"/>
      <c r="AS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4"/>
      <c r="AA488" s="4"/>
      <c r="AB488" s="4"/>
      <c r="AC488" s="3"/>
      <c r="AD488" s="3"/>
      <c r="AE488" s="2"/>
      <c r="AF488" s="3"/>
      <c r="AG488" s="3"/>
      <c r="AH488" s="3"/>
      <c r="AI488" s="2"/>
      <c r="AJ488" s="2"/>
      <c r="AK488" s="2"/>
      <c r="AL488" s="2"/>
      <c r="AM488" s="2"/>
      <c r="AN488" s="2"/>
      <c r="AO488" s="2"/>
      <c r="AP488" s="100"/>
      <c r="AQ488" s="2"/>
      <c r="AR488" s="2"/>
      <c r="AS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4"/>
      <c r="AA489" s="4"/>
      <c r="AB489" s="4"/>
      <c r="AC489" s="3"/>
      <c r="AD489" s="3"/>
      <c r="AE489" s="2"/>
      <c r="AF489" s="3"/>
      <c r="AG489" s="3"/>
      <c r="AH489" s="3"/>
      <c r="AI489" s="2"/>
      <c r="AJ489" s="2"/>
      <c r="AK489" s="2"/>
      <c r="AL489" s="2"/>
      <c r="AM489" s="2"/>
      <c r="AN489" s="2"/>
      <c r="AO489" s="2"/>
      <c r="AP489" s="100"/>
      <c r="AQ489" s="2"/>
      <c r="AR489" s="2"/>
      <c r="AS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4"/>
      <c r="AA490" s="4"/>
      <c r="AB490" s="4"/>
      <c r="AC490" s="3"/>
      <c r="AD490" s="3"/>
      <c r="AE490" s="2"/>
      <c r="AF490" s="3"/>
      <c r="AG490" s="3"/>
      <c r="AH490" s="3"/>
      <c r="AI490" s="2"/>
      <c r="AJ490" s="2"/>
      <c r="AK490" s="2"/>
      <c r="AL490" s="2"/>
      <c r="AM490" s="2"/>
      <c r="AN490" s="2"/>
      <c r="AO490" s="2"/>
      <c r="AP490" s="100"/>
      <c r="AQ490" s="2"/>
      <c r="AR490" s="2"/>
      <c r="AS490" s="3"/>
    </row>
  </sheetData>
  <mergeCells count="304">
    <mergeCell ref="M390:N390"/>
    <mergeCell ref="O390:P390"/>
    <mergeCell ref="Q374:R374"/>
    <mergeCell ref="S374:T374"/>
    <mergeCell ref="D389:W389"/>
    <mergeCell ref="D390:E390"/>
    <mergeCell ref="G390:H390"/>
    <mergeCell ref="I390:J390"/>
    <mergeCell ref="K390:L390"/>
    <mergeCell ref="D341:W341"/>
    <mergeCell ref="D342:E342"/>
    <mergeCell ref="G342:H342"/>
    <mergeCell ref="I342:J342"/>
    <mergeCell ref="K342:L342"/>
    <mergeCell ref="M342:N342"/>
    <mergeCell ref="O342:P342"/>
    <mergeCell ref="V342:Y342"/>
    <mergeCell ref="M358:N358"/>
    <mergeCell ref="O358:P358"/>
    <mergeCell ref="Q358:R358"/>
    <mergeCell ref="S358:T358"/>
    <mergeCell ref="V358:Y358"/>
    <mergeCell ref="Q342:R342"/>
    <mergeCell ref="S342:T342"/>
    <mergeCell ref="D357:W357"/>
    <mergeCell ref="D358:E358"/>
    <mergeCell ref="G358:H358"/>
    <mergeCell ref="I358:J358"/>
    <mergeCell ref="K358:L358"/>
    <mergeCell ref="D373:W373"/>
    <mergeCell ref="D374:E374"/>
    <mergeCell ref="G374:H374"/>
    <mergeCell ref="I374:J374"/>
    <mergeCell ref="K374:L374"/>
    <mergeCell ref="M374:N374"/>
    <mergeCell ref="O374:P374"/>
    <mergeCell ref="V374:Y374"/>
    <mergeCell ref="Q390:R390"/>
    <mergeCell ref="S390:T390"/>
    <mergeCell ref="V390:Y390"/>
    <mergeCell ref="D405:W405"/>
    <mergeCell ref="D406:E406"/>
    <mergeCell ref="G406:H406"/>
    <mergeCell ref="I406:J406"/>
    <mergeCell ref="K406:L406"/>
    <mergeCell ref="M406:N406"/>
    <mergeCell ref="O406:P406"/>
    <mergeCell ref="V406:Y406"/>
    <mergeCell ref="Q470:R470"/>
    <mergeCell ref="S470:T470"/>
    <mergeCell ref="D469:W469"/>
    <mergeCell ref="D470:E470"/>
    <mergeCell ref="G470:H470"/>
    <mergeCell ref="I470:J470"/>
    <mergeCell ref="K470:L470"/>
    <mergeCell ref="M470:N470"/>
    <mergeCell ref="O470:P470"/>
    <mergeCell ref="V470:Y470"/>
    <mergeCell ref="M422:N422"/>
    <mergeCell ref="O422:P422"/>
    <mergeCell ref="Q422:R422"/>
    <mergeCell ref="S422:T422"/>
    <mergeCell ref="V422:Y422"/>
    <mergeCell ref="Q406:R406"/>
    <mergeCell ref="S406:T406"/>
    <mergeCell ref="D421:W421"/>
    <mergeCell ref="D422:E422"/>
    <mergeCell ref="G422:H422"/>
    <mergeCell ref="I422:J422"/>
    <mergeCell ref="K422:L422"/>
    <mergeCell ref="D437:W437"/>
    <mergeCell ref="D438:E438"/>
    <mergeCell ref="G438:H438"/>
    <mergeCell ref="I438:J438"/>
    <mergeCell ref="K438:L438"/>
    <mergeCell ref="M438:N438"/>
    <mergeCell ref="O438:P438"/>
    <mergeCell ref="V438:Y438"/>
    <mergeCell ref="M454:N454"/>
    <mergeCell ref="O454:P454"/>
    <mergeCell ref="Q454:R454"/>
    <mergeCell ref="S454:T454"/>
    <mergeCell ref="V454:Y454"/>
    <mergeCell ref="Q438:R438"/>
    <mergeCell ref="S438:T438"/>
    <mergeCell ref="D453:W453"/>
    <mergeCell ref="D454:E454"/>
    <mergeCell ref="G454:H454"/>
    <mergeCell ref="I454:J454"/>
    <mergeCell ref="K454:L454"/>
    <mergeCell ref="S3:T3"/>
    <mergeCell ref="V3:Y3"/>
    <mergeCell ref="AN11:AN13"/>
    <mergeCell ref="AN1:AO1"/>
    <mergeCell ref="D2:W2"/>
    <mergeCell ref="D3:E3"/>
    <mergeCell ref="G3:H3"/>
    <mergeCell ref="I3:J3"/>
    <mergeCell ref="K3:L3"/>
    <mergeCell ref="M3:N3"/>
    <mergeCell ref="M19:N19"/>
    <mergeCell ref="O19:P19"/>
    <mergeCell ref="Q19:R19"/>
    <mergeCell ref="S19:T19"/>
    <mergeCell ref="V19:Y19"/>
    <mergeCell ref="O3:P3"/>
    <mergeCell ref="Q3:R3"/>
    <mergeCell ref="D18:W18"/>
    <mergeCell ref="D19:E19"/>
    <mergeCell ref="G19:H19"/>
    <mergeCell ref="I19:J19"/>
    <mergeCell ref="K19:L19"/>
    <mergeCell ref="Q35:R35"/>
    <mergeCell ref="S35:T35"/>
    <mergeCell ref="AN37:AO37"/>
    <mergeCell ref="D34:W34"/>
    <mergeCell ref="D35:E35"/>
    <mergeCell ref="G35:H35"/>
    <mergeCell ref="I35:J35"/>
    <mergeCell ref="K35:L35"/>
    <mergeCell ref="M35:N35"/>
    <mergeCell ref="V35:Y35"/>
    <mergeCell ref="O51:P51"/>
    <mergeCell ref="Q51:R51"/>
    <mergeCell ref="V51:Y51"/>
    <mergeCell ref="O35:P35"/>
    <mergeCell ref="D50:W50"/>
    <mergeCell ref="D51:E51"/>
    <mergeCell ref="G51:H51"/>
    <mergeCell ref="I51:J51"/>
    <mergeCell ref="K51:L51"/>
    <mergeCell ref="M51:N51"/>
    <mergeCell ref="M67:N67"/>
    <mergeCell ref="O67:P67"/>
    <mergeCell ref="Q67:R67"/>
    <mergeCell ref="S67:T67"/>
    <mergeCell ref="V67:Y67"/>
    <mergeCell ref="S51:T51"/>
    <mergeCell ref="D65:W65"/>
    <mergeCell ref="D66:W66"/>
    <mergeCell ref="D67:E67"/>
    <mergeCell ref="G67:H67"/>
    <mergeCell ref="I67:J67"/>
    <mergeCell ref="K67:L67"/>
    <mergeCell ref="D83:W83"/>
    <mergeCell ref="D84:E84"/>
    <mergeCell ref="G84:H84"/>
    <mergeCell ref="I84:J84"/>
    <mergeCell ref="K84:L84"/>
    <mergeCell ref="M84:N84"/>
    <mergeCell ref="O84:P84"/>
    <mergeCell ref="V84:Y84"/>
    <mergeCell ref="M101:N101"/>
    <mergeCell ref="O101:P101"/>
    <mergeCell ref="V101:Y101"/>
    <mergeCell ref="Q101:R101"/>
    <mergeCell ref="S101:T101"/>
    <mergeCell ref="Q84:R84"/>
    <mergeCell ref="S84:T84"/>
    <mergeCell ref="D100:W100"/>
    <mergeCell ref="D101:E101"/>
    <mergeCell ref="G101:H101"/>
    <mergeCell ref="I101:J101"/>
    <mergeCell ref="K101:L101"/>
    <mergeCell ref="D116:W116"/>
    <mergeCell ref="D117:E117"/>
    <mergeCell ref="G117:H117"/>
    <mergeCell ref="I117:J117"/>
    <mergeCell ref="K117:L117"/>
    <mergeCell ref="M117:N117"/>
    <mergeCell ref="O117:P117"/>
    <mergeCell ref="V117:Y117"/>
    <mergeCell ref="M132:N132"/>
    <mergeCell ref="O132:P132"/>
    <mergeCell ref="Q132:R132"/>
    <mergeCell ref="S132:T132"/>
    <mergeCell ref="V132:Y132"/>
    <mergeCell ref="Q117:R117"/>
    <mergeCell ref="S117:T117"/>
    <mergeCell ref="D131:W131"/>
    <mergeCell ref="D132:E132"/>
    <mergeCell ref="G132:H132"/>
    <mergeCell ref="I132:J132"/>
    <mergeCell ref="K132:L132"/>
    <mergeCell ref="D149:W149"/>
    <mergeCell ref="D150:E150"/>
    <mergeCell ref="G150:H150"/>
    <mergeCell ref="I150:J150"/>
    <mergeCell ref="K150:L150"/>
    <mergeCell ref="M150:N150"/>
    <mergeCell ref="O150:P150"/>
    <mergeCell ref="V150:Y150"/>
    <mergeCell ref="M166:N166"/>
    <mergeCell ref="O166:P166"/>
    <mergeCell ref="Q166:R166"/>
    <mergeCell ref="S166:T166"/>
    <mergeCell ref="V166:Y166"/>
    <mergeCell ref="Q150:R150"/>
    <mergeCell ref="S150:T150"/>
    <mergeCell ref="D165:W165"/>
    <mergeCell ref="D166:E166"/>
    <mergeCell ref="G166:H166"/>
    <mergeCell ref="I166:J166"/>
    <mergeCell ref="K166:L166"/>
    <mergeCell ref="D181:W181"/>
    <mergeCell ref="D182:E182"/>
    <mergeCell ref="G182:H182"/>
    <mergeCell ref="I182:J182"/>
    <mergeCell ref="K182:L182"/>
    <mergeCell ref="M182:N182"/>
    <mergeCell ref="O182:P182"/>
    <mergeCell ref="V182:Y182"/>
    <mergeCell ref="M198:N198"/>
    <mergeCell ref="O198:P198"/>
    <mergeCell ref="Q198:R198"/>
    <mergeCell ref="S198:T198"/>
    <mergeCell ref="V198:Y198"/>
    <mergeCell ref="Q182:R182"/>
    <mergeCell ref="S182:T182"/>
    <mergeCell ref="D197:W197"/>
    <mergeCell ref="D198:E198"/>
    <mergeCell ref="G198:H198"/>
    <mergeCell ref="I198:J198"/>
    <mergeCell ref="K198:L198"/>
    <mergeCell ref="M262:N262"/>
    <mergeCell ref="O262:P262"/>
    <mergeCell ref="Q246:R246"/>
    <mergeCell ref="S246:T246"/>
    <mergeCell ref="D261:W261"/>
    <mergeCell ref="D262:E262"/>
    <mergeCell ref="G262:H262"/>
    <mergeCell ref="I262:J262"/>
    <mergeCell ref="K262:L262"/>
    <mergeCell ref="D213:W213"/>
    <mergeCell ref="D214:E214"/>
    <mergeCell ref="G214:H214"/>
    <mergeCell ref="I214:J214"/>
    <mergeCell ref="K214:L214"/>
    <mergeCell ref="M214:N214"/>
    <mergeCell ref="O214:P214"/>
    <mergeCell ref="V214:Y214"/>
    <mergeCell ref="M230:N230"/>
    <mergeCell ref="O230:P230"/>
    <mergeCell ref="Q230:R230"/>
    <mergeCell ref="S230:T230"/>
    <mergeCell ref="V230:Y230"/>
    <mergeCell ref="Q214:R214"/>
    <mergeCell ref="S214:T214"/>
    <mergeCell ref="D229:W229"/>
    <mergeCell ref="D230:E230"/>
    <mergeCell ref="G230:H230"/>
    <mergeCell ref="I230:J230"/>
    <mergeCell ref="K230:L230"/>
    <mergeCell ref="D245:W245"/>
    <mergeCell ref="D246:E246"/>
    <mergeCell ref="G246:H246"/>
    <mergeCell ref="I246:J246"/>
    <mergeCell ref="K246:L246"/>
    <mergeCell ref="M246:N246"/>
    <mergeCell ref="O246:P246"/>
    <mergeCell ref="V246:Y246"/>
    <mergeCell ref="Q262:R262"/>
    <mergeCell ref="S262:T262"/>
    <mergeCell ref="V262:Y262"/>
    <mergeCell ref="D277:W277"/>
    <mergeCell ref="D278:E278"/>
    <mergeCell ref="G278:H278"/>
    <mergeCell ref="I278:J278"/>
    <mergeCell ref="K278:L278"/>
    <mergeCell ref="M278:N278"/>
    <mergeCell ref="O278:P278"/>
    <mergeCell ref="V278:Y278"/>
    <mergeCell ref="M294:N294"/>
    <mergeCell ref="O294:P294"/>
    <mergeCell ref="Q294:R294"/>
    <mergeCell ref="S294:T294"/>
    <mergeCell ref="V294:Y294"/>
    <mergeCell ref="Q278:R278"/>
    <mergeCell ref="S278:T278"/>
    <mergeCell ref="D293:W293"/>
    <mergeCell ref="D294:E294"/>
    <mergeCell ref="G294:H294"/>
    <mergeCell ref="I294:J294"/>
    <mergeCell ref="K294:L294"/>
    <mergeCell ref="D309:W309"/>
    <mergeCell ref="D310:E310"/>
    <mergeCell ref="G310:H310"/>
    <mergeCell ref="I310:J310"/>
    <mergeCell ref="K310:L310"/>
    <mergeCell ref="M310:N310"/>
    <mergeCell ref="O310:P310"/>
    <mergeCell ref="V310:Y310"/>
    <mergeCell ref="M326:N326"/>
    <mergeCell ref="O326:P326"/>
    <mergeCell ref="Q326:R326"/>
    <mergeCell ref="S326:T326"/>
    <mergeCell ref="V326:Y326"/>
    <mergeCell ref="Q310:R310"/>
    <mergeCell ref="S310:T310"/>
    <mergeCell ref="D325:W325"/>
    <mergeCell ref="D326:E326"/>
    <mergeCell ref="G326:H326"/>
    <mergeCell ref="I326:J326"/>
    <mergeCell ref="K326:L326"/>
  </mergeCells>
  <dataValidations>
    <dataValidation type="list" allowBlank="1" showErrorMessage="1" sqref="AF4:AF33 AG39:AG61 AG68:AG115">
      <formula1>"A05 64GB,A06 64GB,A06 128GB,A16 128GB,A05s 128GB,A56 128GB,A07 64GB,Hot60i 128GB,Tab S10FE 256GB,Smart10Plus 128GB,Hot 60pro 128GB,Smart 10 HD,Pop 10,Spark 40,Smart 10,S25 Ultra 512GB,S25Ultra 256GB,A05s 64GB"</formula1>
    </dataValidation>
    <dataValidation type="list" allowBlank="1" showErrorMessage="1" sqref="AE4:AE33">
      <formula1>"Freedom,Willy,Mitsumi,Saidi,Chacha,Alladhy traders,Leon,Hamis,Vijay,Krishna"</formula1>
    </dataValidation>
    <dataValidation type="list" allowBlank="1" showErrorMessage="1" sqref="AE39:AE61 AE68:AE115">
      <formula1>"Watu Simu,Dorice,10x traders -  Tanga,Matesha,Queen,Altage,Duet,Angelo,Emmanuel,10x traders - Morogoro,Cash,Ibuma,Alladhy traders,Ghala,Zakia,Kings Mobile,Esn,Josephine Kabanza,Easybuy,Twalha,Faudhia,Eveline,Nurdin,Ismail Matary"</formula1>
    </dataValidation>
  </dataValidations>
  <drawing r:id="rId2"/>
  <legacyDrawing r:id="rId3"/>
</worksheet>
</file>